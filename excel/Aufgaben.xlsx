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ne\OneDrive\Desktop\Praxisnachbereitung-WS26-27\excel\"/>
    </mc:Choice>
  </mc:AlternateContent>
  <xr:revisionPtr revIDLastSave="0" documentId="13_ncr:1_{5FAF4D40-6956-4E11-97D0-F2B84063BF74}" xr6:coauthVersionLast="47" xr6:coauthVersionMax="47" xr10:uidLastSave="{00000000-0000-0000-0000-000000000000}"/>
  <bookViews>
    <workbookView xWindow="-108" yWindow="-108" windowWidth="23256" windowHeight="12456" activeTab="3" xr2:uid="{B9AA44CF-0CF4-4BAE-B56E-FD76FAE18FF3}"/>
  </bookViews>
  <sheets>
    <sheet name="Mitarbeiter" sheetId="4" r:id="rId1"/>
    <sheet name="Geraete" sheetId="3" r:id="rId2"/>
    <sheet name="PivotTabelle" sheetId="7" r:id="rId3"/>
    <sheet name="Gesamt" sheetId="5" r:id="rId4"/>
    <sheet name="Ausleihen" sheetId="2" r:id="rId5"/>
  </sheets>
  <definedNames>
    <definedName name="ExterneDaten_1" localSheetId="4" hidden="1">Ausleihen!$A$1:$D$46</definedName>
    <definedName name="ExterneDaten_2" localSheetId="1" hidden="1">Geraete!$A$1:$F$36</definedName>
    <definedName name="ExterneDaten_2" localSheetId="3" hidden="1">Gesamt!$A$1:$L$46</definedName>
    <definedName name="ExterneDaten_3" localSheetId="0" hidden="1">Mitarbeiter!$A$1:$D$13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3" l="1"/>
  <c r="G2" i="3"/>
  <c r="J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340194-2728-494A-976F-7D71B296CF9C}" keepAlive="1" name="Abfrage - Ausleihen" description="Verbindung mit der Abfrage 'Ausleihen' in der Arbeitsmappe." type="5" refreshedVersion="8" background="1" saveData="1">
    <dbPr connection="Provider=Microsoft.Mashup.OleDb.1;Data Source=$Workbook$;Location=Ausleihen;Extended Properties=&quot;&quot;" command="SELECT * FROM [Ausleihen]"/>
  </connection>
  <connection id="2" xr16:uid="{88BE49E0-E21D-490E-8A92-E63D53393647}" keepAlive="1" name="Abfrage - Geraete" description="Verbindung mit der Abfrage 'Geraete' in der Arbeitsmappe." type="5" refreshedVersion="8" background="1" saveData="1">
    <dbPr connection="Provider=Microsoft.Mashup.OleDb.1;Data Source=$Workbook$;Location=Geraete;Extended Properties=&quot;&quot;" command="SELECT * FROM [Geraete]"/>
  </connection>
  <connection id="3" xr16:uid="{5A334118-4DC4-467B-A70F-762AE10D5F71}" keepAlive="1" name="Abfrage - Gesamt" description="Verbindung mit der Abfrage 'Gesamt' in der Arbeitsmappe." type="5" refreshedVersion="8" background="1" saveData="1">
    <dbPr connection="Provider=Microsoft.Mashup.OleDb.1;Data Source=$Workbook$;Location=Gesamt;Extended Properties=&quot;&quot;" command="SELECT * FROM [Gesamt]"/>
  </connection>
  <connection id="4" xr16:uid="{1D03F1AE-F3AA-4843-9B5F-E5CBD516B6C8}" keepAlive="1" name="Abfrage - Mitarbeiter" description="Verbindung mit der Abfrage 'Mitarbeiter' in der Arbeitsmappe." type="5" refreshedVersion="8" background="1" saveData="1">
    <dbPr connection="Provider=Microsoft.Mashup.OleDb.1;Data Source=$Workbook$;Location=Mitarbeiter;Extended Properties=&quot;&quot;" command="SELECT * FROM [Mitarbeiter]"/>
  </connection>
</connections>
</file>

<file path=xl/sharedStrings.xml><?xml version="1.0" encoding="utf-8"?>
<sst xmlns="http://schemas.openxmlformats.org/spreadsheetml/2006/main" count="657" uniqueCount="134">
  <si>
    <t>Gerätenummer</t>
  </si>
  <si>
    <t>Mitarbeiter-ID</t>
  </si>
  <si>
    <t>Ausgabe am</t>
  </si>
  <si>
    <t>Rückgabe am</t>
  </si>
  <si>
    <t>G0035</t>
  </si>
  <si>
    <t>G0021</t>
  </si>
  <si>
    <t>G0024</t>
  </si>
  <si>
    <t>G0016</t>
  </si>
  <si>
    <t>G0006</t>
  </si>
  <si>
    <t>G0005</t>
  </si>
  <si>
    <t>G0009</t>
  </si>
  <si>
    <t>G0011</t>
  </si>
  <si>
    <t>G0028</t>
  </si>
  <si>
    <t>G0013</t>
  </si>
  <si>
    <t>G0029</t>
  </si>
  <si>
    <t>G0015</t>
  </si>
  <si>
    <t>G0022</t>
  </si>
  <si>
    <t>G0018</t>
  </si>
  <si>
    <t>G0031</t>
  </si>
  <si>
    <t>G0027</t>
  </si>
  <si>
    <t>G0030</t>
  </si>
  <si>
    <t>G0007</t>
  </si>
  <si>
    <t>G0004</t>
  </si>
  <si>
    <t>G0025</t>
  </si>
  <si>
    <t>G0032</t>
  </si>
  <si>
    <t>G0014</t>
  </si>
  <si>
    <t>G0033</t>
  </si>
  <si>
    <t>Gerätetyp</t>
  </si>
  <si>
    <t>Modell</t>
  </si>
  <si>
    <t>Kaufdatum</t>
  </si>
  <si>
    <t>Netto-Kaufpreis</t>
  </si>
  <si>
    <t>Standort</t>
  </si>
  <si>
    <t>G0001</t>
  </si>
  <si>
    <t>Tablet</t>
  </si>
  <si>
    <t>Galaxy Tab</t>
  </si>
  <si>
    <t>11.01.2023</t>
  </si>
  <si>
    <t>Berlin</t>
  </si>
  <si>
    <t>G0002</t>
  </si>
  <si>
    <t>Surface Go</t>
  </si>
  <si>
    <t>23.02.2021</t>
  </si>
  <si>
    <t>München</t>
  </si>
  <si>
    <t>G0003</t>
  </si>
  <si>
    <t>iPad</t>
  </si>
  <si>
    <t>08.09.2024</t>
  </si>
  <si>
    <t>Laptop</t>
  </si>
  <si>
    <t>Dell XPS</t>
  </si>
  <si>
    <t>05.05.2025</t>
  </si>
  <si>
    <t>Drucker</t>
  </si>
  <si>
    <t>Canon Pixma</t>
  </si>
  <si>
    <t>03.11.2021</t>
  </si>
  <si>
    <t>Smartphone</t>
  </si>
  <si>
    <t>Samsung S21</t>
  </si>
  <si>
    <t>01.01.2024</t>
  </si>
  <si>
    <t>Lenovo ThinkPad</t>
  </si>
  <si>
    <t>13.06.2021</t>
  </si>
  <si>
    <t>Hamburg</t>
  </si>
  <si>
    <t>G0008</t>
  </si>
  <si>
    <t>Beamer</t>
  </si>
  <si>
    <t>Epson EB</t>
  </si>
  <si>
    <t>23.06.2025</t>
  </si>
  <si>
    <t>10.04.2023</t>
  </si>
  <si>
    <t>G0010</t>
  </si>
  <si>
    <t>09.11.2023</t>
  </si>
  <si>
    <t>Brother HL</t>
  </si>
  <si>
    <t>09.09.2025</t>
  </si>
  <si>
    <t>G0012</t>
  </si>
  <si>
    <t>01.06.2022</t>
  </si>
  <si>
    <t>16.05.2021</t>
  </si>
  <si>
    <t>03.03.2021</t>
  </si>
  <si>
    <t>iPhone 13</t>
  </si>
  <si>
    <t>20.09.2022</t>
  </si>
  <si>
    <t>30.03.2023</t>
  </si>
  <si>
    <t>G0017</t>
  </si>
  <si>
    <t>16.06.2021</t>
  </si>
  <si>
    <t>05.10.2022</t>
  </si>
  <si>
    <t>G0019</t>
  </si>
  <si>
    <t>HP LaserJet</t>
  </si>
  <si>
    <t>21.08.2021</t>
  </si>
  <si>
    <t>G0020</t>
  </si>
  <si>
    <t>06.01.2024</t>
  </si>
  <si>
    <t>Monitor</t>
  </si>
  <si>
    <t>Samsung Curved</t>
  </si>
  <si>
    <t>22.02.2023</t>
  </si>
  <si>
    <t>20.08.2024</t>
  </si>
  <si>
    <t>G0023</t>
  </si>
  <si>
    <t>19.11.2023</t>
  </si>
  <si>
    <t>Dell UltraSharp</t>
  </si>
  <si>
    <t>01.03.2022</t>
  </si>
  <si>
    <t>06.12.2023</t>
  </si>
  <si>
    <t>G0026</t>
  </si>
  <si>
    <t>20.10.2023</t>
  </si>
  <si>
    <t>24.07.2022</t>
  </si>
  <si>
    <t>19.01.2023</t>
  </si>
  <si>
    <t>21.05.2021</t>
  </si>
  <si>
    <t>27.03.2022</t>
  </si>
  <si>
    <t>HP EliteBook</t>
  </si>
  <si>
    <t>28.04.2025</t>
  </si>
  <si>
    <t>11.11.2022</t>
  </si>
  <si>
    <t>BenQ MW550</t>
  </si>
  <si>
    <t>03.03.2022</t>
  </si>
  <si>
    <t>G0034</t>
  </si>
  <si>
    <t>17.09.2024</t>
  </si>
  <si>
    <t>03.01.2024</t>
  </si>
  <si>
    <t>Name</t>
  </si>
  <si>
    <t>Abteilung</t>
  </si>
  <si>
    <t>Aleksandr Weinhage</t>
  </si>
  <si>
    <t>IT</t>
  </si>
  <si>
    <t>Eleni Hauffer</t>
  </si>
  <si>
    <t>Paul Dobes-Stiffel</t>
  </si>
  <si>
    <t>Produktion</t>
  </si>
  <si>
    <t>Klemens Löffler</t>
  </si>
  <si>
    <t>Vertrieb</t>
  </si>
  <si>
    <t>Alexandre Davids</t>
  </si>
  <si>
    <t>Eric Patberg B.Sc.</t>
  </si>
  <si>
    <t>Orhan Siering MBA.</t>
  </si>
  <si>
    <t>Dipl.-Ing. Klaus-Werner Holsten B.Sc.</t>
  </si>
  <si>
    <t>Univ.Prof. Heimo Karge</t>
  </si>
  <si>
    <t>Marketing</t>
  </si>
  <si>
    <t>Carolin Hande</t>
  </si>
  <si>
    <t>Auguste Davids</t>
  </si>
  <si>
    <t>Ariane Klemt-Kaul</t>
  </si>
  <si>
    <t>Geraete.Gerätetyp.1</t>
  </si>
  <si>
    <t>Geraete.Modell.1</t>
  </si>
  <si>
    <t>Geraete.Kaufdatum.1</t>
  </si>
  <si>
    <t>Geraete.Netto-Kaufpreis.1</t>
  </si>
  <si>
    <t>Geraete.Standort.1</t>
  </si>
  <si>
    <t>Mitarbeiter.Name</t>
  </si>
  <si>
    <t>Mitarbeiter.Abteilung</t>
  </si>
  <si>
    <t>Mitarbeiter.Standort</t>
  </si>
  <si>
    <t>Nicht im Einsatz</t>
  </si>
  <si>
    <t>Zeilenbeschriftungen</t>
  </si>
  <si>
    <t>Gesamtergebnis</t>
  </si>
  <si>
    <t>Anzahl von Gerätenummer</t>
  </si>
  <si>
    <t>Spaltenbeschriftungen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</si>
</sst>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Standard" xfId="0" builtinId="0"/>
  </cellStyles>
  <dxfs count="23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[Aufgaben.xlsx]PivotTabelle!PivotTable2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PivotTabelle!$B$3:$B$4</c:f>
              <c:strCache>
                <c:ptCount val="1"/>
                <c:pt idx="0">
                  <c:v>Berlin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PivotTabelle!$A$5:$A$11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PivotTabelle!$B$5:$B$11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4-4E81-8DE0-4727780657D4}"/>
            </c:ext>
          </c:extLst>
        </c:ser>
        <c:ser>
          <c:idx val="1"/>
          <c:order val="1"/>
          <c:tx>
            <c:strRef>
              <c:f>PivotTabelle!$C$3:$C$4</c:f>
              <c:strCache>
                <c:ptCount val="1"/>
                <c:pt idx="0">
                  <c:v>Hamburg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PivotTabelle!$A$5:$A$11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PivotTabelle!$C$5:$C$11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E4-4E81-8DE0-4727780657D4}"/>
            </c:ext>
          </c:extLst>
        </c:ser>
        <c:ser>
          <c:idx val="2"/>
          <c:order val="2"/>
          <c:tx>
            <c:strRef>
              <c:f>PivotTabelle!$D$3:$D$4</c:f>
              <c:strCache>
                <c:ptCount val="1"/>
                <c:pt idx="0">
                  <c:v>München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PivotTabelle!$A$5:$A$11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PivotTabelle!$D$5:$D$11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E4-4E81-8DE0-472778065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483887"/>
        <c:axId val="2095422223"/>
      </c:barChart>
      <c:catAx>
        <c:axId val="37748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95422223"/>
        <c:crosses val="autoZero"/>
        <c:auto val="1"/>
        <c:lblAlgn val="ctr"/>
        <c:lblOffset val="100"/>
        <c:noMultiLvlLbl val="0"/>
      </c:catAx>
      <c:valAx>
        <c:axId val="209542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7748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0</xdr:row>
      <xdr:rowOff>83820</xdr:rowOff>
    </xdr:from>
    <xdr:to>
      <xdr:col>10</xdr:col>
      <xdr:colOff>563880</xdr:colOff>
      <xdr:row>15</xdr:row>
      <xdr:rowOff>83820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141D9B7-6F41-A8D6-C87A-BD5D66313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ness Anakhli" refreshedDate="46305.654684953704" createdVersion="8" refreshedVersion="8" minRefreshableVersion="3" recordCount="45" xr:uid="{3CF61123-4302-4C0A-BC4E-BC2E0488AE5D}">
  <cacheSource type="worksheet">
    <worksheetSource name="Gesamt"/>
  </cacheSource>
  <cacheFields count="12">
    <cacheField name="Gerätenummer" numFmtId="0">
      <sharedItems/>
    </cacheField>
    <cacheField name="Mitarbeiter-ID" numFmtId="0">
      <sharedItems containsSemiMixedTypes="0" containsString="0" containsNumber="1" containsInteger="1" minValue="1001" maxValue="1012"/>
    </cacheField>
    <cacheField name="Ausgabe am" numFmtId="14">
      <sharedItems containsSemiMixedTypes="0" containsNonDate="0" containsDate="1" containsString="0" minDate="2023-12-01T00:00:00" maxDate="2025-10-01T00:00:00"/>
    </cacheField>
    <cacheField name="Rückgabe am" numFmtId="14">
      <sharedItems containsNonDate="0" containsDate="1" containsString="0" containsBlank="1" minDate="2024-06-27T00:00:00" maxDate="2025-10-06T00:00:00"/>
    </cacheField>
    <cacheField name="Geraete.Gerätetyp.1" numFmtId="0">
      <sharedItems count="6">
        <s v="Beamer"/>
        <s v="Drucker"/>
        <s v="Laptop"/>
        <s v="Monitor"/>
        <s v="Smartphone"/>
        <s v="Tablet"/>
      </sharedItems>
    </cacheField>
    <cacheField name="Geraete.Modell.1" numFmtId="0">
      <sharedItems/>
    </cacheField>
    <cacheField name="Geraete.Kaufdatum.1" numFmtId="0">
      <sharedItems/>
    </cacheField>
    <cacheField name="Geraete.Netto-Kaufpreis.1" numFmtId="0">
      <sharedItems containsSemiMixedTypes="0" containsString="0" containsNumber="1" minValue="501.64" maxValue="1898.65"/>
    </cacheField>
    <cacheField name="Geraete.Standort.1" numFmtId="0">
      <sharedItems count="3">
        <s v="Berlin"/>
        <s v="München"/>
        <s v="Hamburg"/>
      </sharedItems>
    </cacheField>
    <cacheField name="Mitarbeiter.Name" numFmtId="0">
      <sharedItems/>
    </cacheField>
    <cacheField name="Mitarbeiter.Abteilung" numFmtId="0">
      <sharedItems/>
    </cacheField>
    <cacheField name="Mitarbeiter.Standor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G0035"/>
    <n v="1009"/>
    <d v="2024-05-09T00:00:00"/>
    <m/>
    <x v="0"/>
    <s v="BenQ MW550"/>
    <s v="03.01.2024"/>
    <n v="644.54"/>
    <x v="0"/>
    <s v="Univ.Prof. Heimo Karge"/>
    <s v="Marketing"/>
    <s v="Hamburg"/>
  </r>
  <r>
    <s v="G0005"/>
    <n v="1009"/>
    <d v="2024-04-07T00:00:00"/>
    <m/>
    <x v="1"/>
    <s v="Canon Pixma"/>
    <s v="03.11.2021"/>
    <n v="823.23"/>
    <x v="0"/>
    <s v="Univ.Prof. Heimo Karge"/>
    <s v="Marketing"/>
    <s v="Hamburg"/>
  </r>
  <r>
    <s v="G0035"/>
    <n v="1001"/>
    <d v="2024-01-06T00:00:00"/>
    <m/>
    <x v="0"/>
    <s v="BenQ MW550"/>
    <s v="03.01.2024"/>
    <n v="644.54"/>
    <x v="0"/>
    <s v="Aleksandr Weinhage"/>
    <s v="IT"/>
    <s v="Berlin"/>
  </r>
  <r>
    <s v="G0035"/>
    <n v="1003"/>
    <d v="2024-05-05T00:00:00"/>
    <m/>
    <x v="0"/>
    <s v="BenQ MW550"/>
    <s v="03.01.2024"/>
    <n v="644.54"/>
    <x v="0"/>
    <s v="Paul Dobes-Stiffel"/>
    <s v="Produktion"/>
    <s v="Hamburg"/>
  </r>
  <r>
    <s v="G0016"/>
    <n v="1003"/>
    <d v="2024-02-08T00:00:00"/>
    <d v="2025-06-09T00:00:00"/>
    <x v="1"/>
    <s v="Canon Pixma"/>
    <s v="30.03.2023"/>
    <n v="1501.06"/>
    <x v="0"/>
    <s v="Paul Dobes-Stiffel"/>
    <s v="Produktion"/>
    <s v="Hamburg"/>
  </r>
  <r>
    <s v="G0004"/>
    <n v="1003"/>
    <d v="2025-06-19T00:00:00"/>
    <d v="2025-09-08T00:00:00"/>
    <x v="2"/>
    <s v="Dell XPS"/>
    <s v="05.05.2025"/>
    <n v="1007.88"/>
    <x v="1"/>
    <s v="Paul Dobes-Stiffel"/>
    <s v="Produktion"/>
    <s v="Hamburg"/>
  </r>
  <r>
    <s v="G0016"/>
    <n v="1002"/>
    <d v="2025-05-22T00:00:00"/>
    <d v="2025-05-31T00:00:00"/>
    <x v="1"/>
    <s v="Canon Pixma"/>
    <s v="30.03.2023"/>
    <n v="1501.06"/>
    <x v="0"/>
    <s v="Eleni Hauffer"/>
    <s v="IT"/>
    <s v="Berlin"/>
  </r>
  <r>
    <s v="G0021"/>
    <n v="1008"/>
    <d v="2025-09-30T00:00:00"/>
    <d v="2025-10-05T00:00:00"/>
    <x v="3"/>
    <s v="Samsung Curved"/>
    <s v="22.02.2023"/>
    <n v="1134.1600000000001"/>
    <x v="1"/>
    <s v="Dipl.-Ing. Klaus-Werner Holsten B.Sc."/>
    <s v="IT"/>
    <s v="Hamburg"/>
  </r>
  <r>
    <s v="G0024"/>
    <n v="1008"/>
    <d v="2024-03-24T00:00:00"/>
    <m/>
    <x v="3"/>
    <s v="Dell UltraSharp"/>
    <s v="01.03.2022"/>
    <n v="750.91"/>
    <x v="0"/>
    <s v="Dipl.-Ing. Klaus-Werner Holsten B.Sc."/>
    <s v="IT"/>
    <s v="Hamburg"/>
  </r>
  <r>
    <s v="G0024"/>
    <n v="1005"/>
    <d v="2025-03-27T00:00:00"/>
    <d v="2025-07-30T00:00:00"/>
    <x v="3"/>
    <s v="Dell UltraSharp"/>
    <s v="01.03.2022"/>
    <n v="750.91"/>
    <x v="0"/>
    <s v="Alexandre Davids"/>
    <s v="Vertrieb"/>
    <s v="Berlin"/>
  </r>
  <r>
    <s v="G0005"/>
    <n v="1006"/>
    <d v="2025-08-23T00:00:00"/>
    <d v="2025-09-22T00:00:00"/>
    <x v="1"/>
    <s v="Canon Pixma"/>
    <s v="03.11.2021"/>
    <n v="823.23"/>
    <x v="0"/>
    <s v="Eric Patberg B.Sc."/>
    <s v="Vertrieb"/>
    <s v="Hamburg"/>
  </r>
  <r>
    <s v="G0016"/>
    <n v="1010"/>
    <d v="2025-07-28T00:00:00"/>
    <m/>
    <x v="1"/>
    <s v="Canon Pixma"/>
    <s v="30.03.2023"/>
    <n v="1501.06"/>
    <x v="0"/>
    <s v="Carolin Hande"/>
    <s v="IT"/>
    <s v="Hamburg"/>
  </r>
  <r>
    <s v="G0006"/>
    <n v="1012"/>
    <d v="2025-05-31T00:00:00"/>
    <d v="2025-06-10T00:00:00"/>
    <x v="4"/>
    <s v="Samsung S21"/>
    <s v="01.01.2024"/>
    <n v="1257.96"/>
    <x v="1"/>
    <s v="Ariane Klemt-Kaul"/>
    <s v="IT"/>
    <s v="München"/>
  </r>
  <r>
    <s v="G0005"/>
    <n v="1012"/>
    <d v="2024-11-03T00:00:00"/>
    <m/>
    <x v="1"/>
    <s v="Canon Pixma"/>
    <s v="03.11.2021"/>
    <n v="823.23"/>
    <x v="0"/>
    <s v="Ariane Klemt-Kaul"/>
    <s v="IT"/>
    <s v="München"/>
  </r>
  <r>
    <s v="G0009"/>
    <n v="1011"/>
    <d v="2025-07-12T00:00:00"/>
    <d v="2025-07-15T00:00:00"/>
    <x v="2"/>
    <s v="Dell XPS"/>
    <s v="10.04.2023"/>
    <n v="1458.02"/>
    <x v="1"/>
    <s v="Auguste Davids"/>
    <s v="IT"/>
    <s v="Hamburg"/>
  </r>
  <r>
    <s v="G0007"/>
    <n v="1001"/>
    <d v="2024-09-09T00:00:00"/>
    <d v="2025-07-16T00:00:00"/>
    <x v="2"/>
    <s v="Lenovo ThinkPad"/>
    <s v="13.06.2021"/>
    <n v="869.09"/>
    <x v="2"/>
    <s v="Aleksandr Weinhage"/>
    <s v="IT"/>
    <s v="Berlin"/>
  </r>
  <r>
    <s v="G0007"/>
    <n v="1001"/>
    <d v="2025-08-11T00:00:00"/>
    <m/>
    <x v="2"/>
    <s v="Lenovo ThinkPad"/>
    <s v="13.06.2021"/>
    <n v="869.09"/>
    <x v="2"/>
    <s v="Aleksandr Weinhage"/>
    <s v="IT"/>
    <s v="Berlin"/>
  </r>
  <r>
    <s v="G0011"/>
    <n v="1005"/>
    <d v="2025-06-29T00:00:00"/>
    <d v="2025-08-29T00:00:00"/>
    <x v="1"/>
    <s v="Brother HL"/>
    <s v="09.09.2025"/>
    <n v="1417.1"/>
    <x v="1"/>
    <s v="Alexandre Davids"/>
    <s v="Vertrieb"/>
    <s v="Berlin"/>
  </r>
  <r>
    <s v="G0028"/>
    <n v="1004"/>
    <d v="2024-08-19T00:00:00"/>
    <m/>
    <x v="0"/>
    <s v="Epson EB"/>
    <s v="19.01.2023"/>
    <n v="1246.58"/>
    <x v="2"/>
    <s v="Klemens Löffler"/>
    <s v="Vertrieb"/>
    <s v="Hamburg"/>
  </r>
  <r>
    <s v="G0028"/>
    <n v="1006"/>
    <d v="2024-12-04T00:00:00"/>
    <d v="2025-03-16T00:00:00"/>
    <x v="0"/>
    <s v="Epson EB"/>
    <s v="19.01.2023"/>
    <n v="1246.58"/>
    <x v="2"/>
    <s v="Eric Patberg B.Sc."/>
    <s v="Vertrieb"/>
    <s v="Hamburg"/>
  </r>
  <r>
    <s v="G0028"/>
    <n v="1003"/>
    <d v="2024-10-30T00:00:00"/>
    <d v="2024-12-04T00:00:00"/>
    <x v="0"/>
    <s v="Epson EB"/>
    <s v="19.01.2023"/>
    <n v="1246.58"/>
    <x v="2"/>
    <s v="Paul Dobes-Stiffel"/>
    <s v="Produktion"/>
    <s v="Hamburg"/>
  </r>
  <r>
    <s v="G0013"/>
    <n v="1012"/>
    <d v="2024-05-07T00:00:00"/>
    <d v="2024-06-27T00:00:00"/>
    <x v="1"/>
    <s v="Canon Pixma"/>
    <s v="16.05.2021"/>
    <n v="1898.65"/>
    <x v="2"/>
    <s v="Ariane Klemt-Kaul"/>
    <s v="IT"/>
    <s v="München"/>
  </r>
  <r>
    <s v="G0013"/>
    <n v="1009"/>
    <d v="2024-01-28T00:00:00"/>
    <d v="2025-02-26T00:00:00"/>
    <x v="1"/>
    <s v="Canon Pixma"/>
    <s v="16.05.2021"/>
    <n v="1898.65"/>
    <x v="2"/>
    <s v="Univ.Prof. Heimo Karge"/>
    <s v="Marketing"/>
    <s v="Hamburg"/>
  </r>
  <r>
    <s v="G0029"/>
    <n v="1002"/>
    <d v="2025-09-21T00:00:00"/>
    <d v="2025-10-04T00:00:00"/>
    <x v="2"/>
    <s v="Lenovo ThinkPad"/>
    <s v="21.05.2021"/>
    <n v="1553.15"/>
    <x v="2"/>
    <s v="Eleni Hauffer"/>
    <s v="IT"/>
    <s v="Berlin"/>
  </r>
  <r>
    <s v="G0015"/>
    <n v="1010"/>
    <d v="2024-03-26T00:00:00"/>
    <d v="2025-08-17T00:00:00"/>
    <x v="4"/>
    <s v="iPhone 13"/>
    <s v="20.09.2022"/>
    <n v="661.44"/>
    <x v="1"/>
    <s v="Carolin Hande"/>
    <s v="IT"/>
    <s v="Hamburg"/>
  </r>
  <r>
    <s v="G0015"/>
    <n v="1002"/>
    <d v="2024-08-15T00:00:00"/>
    <m/>
    <x v="4"/>
    <s v="iPhone 13"/>
    <s v="20.09.2022"/>
    <n v="661.44"/>
    <x v="1"/>
    <s v="Eleni Hauffer"/>
    <s v="IT"/>
    <s v="Berlin"/>
  </r>
  <r>
    <s v="G0022"/>
    <n v="1002"/>
    <d v="2025-08-30T00:00:00"/>
    <d v="2025-09-30T00:00:00"/>
    <x v="5"/>
    <s v="iPad"/>
    <s v="20.08.2024"/>
    <n v="1591.98"/>
    <x v="2"/>
    <s v="Eleni Hauffer"/>
    <s v="IT"/>
    <s v="Berlin"/>
  </r>
  <r>
    <s v="G0022"/>
    <n v="1002"/>
    <d v="2024-07-20T00:00:00"/>
    <d v="2025-01-06T00:00:00"/>
    <x v="5"/>
    <s v="iPad"/>
    <s v="20.08.2024"/>
    <n v="1591.98"/>
    <x v="2"/>
    <s v="Eleni Hauffer"/>
    <s v="IT"/>
    <s v="Berlin"/>
  </r>
  <r>
    <s v="G0018"/>
    <n v="1011"/>
    <d v="2024-10-03T00:00:00"/>
    <d v="2024-11-27T00:00:00"/>
    <x v="5"/>
    <s v="iPad"/>
    <s v="05.10.2022"/>
    <n v="1688.07"/>
    <x v="1"/>
    <s v="Auguste Davids"/>
    <s v="IT"/>
    <s v="Hamburg"/>
  </r>
  <r>
    <s v="G0031"/>
    <n v="1004"/>
    <d v="2024-01-29T00:00:00"/>
    <m/>
    <x v="2"/>
    <s v="HP EliteBook"/>
    <s v="28.04.2025"/>
    <n v="1095.6199999999999"/>
    <x v="1"/>
    <s v="Klemens Löffler"/>
    <s v="Vertrieb"/>
    <s v="Hamburg"/>
  </r>
  <r>
    <s v="G0031"/>
    <n v="1004"/>
    <d v="2024-02-14T00:00:00"/>
    <m/>
    <x v="2"/>
    <s v="HP EliteBook"/>
    <s v="28.04.2025"/>
    <n v="1095.6199999999999"/>
    <x v="1"/>
    <s v="Klemens Löffler"/>
    <s v="Vertrieb"/>
    <s v="Hamburg"/>
  </r>
  <r>
    <s v="G0027"/>
    <n v="1004"/>
    <d v="2024-04-21T00:00:00"/>
    <d v="2025-07-01T00:00:00"/>
    <x v="3"/>
    <s v="Samsung Curved"/>
    <s v="24.07.2022"/>
    <n v="501.64"/>
    <x v="1"/>
    <s v="Klemens Löffler"/>
    <s v="Vertrieb"/>
    <s v="Hamburg"/>
  </r>
  <r>
    <s v="G0030"/>
    <n v="1012"/>
    <d v="2025-05-15T00:00:00"/>
    <d v="2025-09-05T00:00:00"/>
    <x v="0"/>
    <s v="Epson EB"/>
    <s v="27.03.2022"/>
    <n v="1629.76"/>
    <x v="1"/>
    <s v="Ariane Klemt-Kaul"/>
    <s v="IT"/>
    <s v="München"/>
  </r>
  <r>
    <s v="G0030"/>
    <n v="1005"/>
    <d v="2023-12-01T00:00:00"/>
    <d v="2024-09-24T00:00:00"/>
    <x v="0"/>
    <s v="Epson EB"/>
    <s v="27.03.2022"/>
    <n v="1629.76"/>
    <x v="1"/>
    <s v="Alexandre Davids"/>
    <s v="Vertrieb"/>
    <s v="Berlin"/>
  </r>
  <r>
    <s v="G0025"/>
    <n v="1005"/>
    <d v="2025-01-18T00:00:00"/>
    <m/>
    <x v="0"/>
    <s v="Epson EB"/>
    <s v="06.12.2023"/>
    <n v="545.46"/>
    <x v="0"/>
    <s v="Alexandre Davids"/>
    <s v="Vertrieb"/>
    <s v="Berlin"/>
  </r>
  <r>
    <s v="G0032"/>
    <n v="1003"/>
    <d v="2024-08-04T00:00:00"/>
    <d v="2025-08-02T00:00:00"/>
    <x v="2"/>
    <s v="Lenovo ThinkPad"/>
    <s v="11.11.2022"/>
    <n v="1801.36"/>
    <x v="1"/>
    <s v="Paul Dobes-Stiffel"/>
    <s v="Produktion"/>
    <s v="Hamburg"/>
  </r>
  <r>
    <s v="G0014"/>
    <n v="1001"/>
    <d v="2024-11-26T00:00:00"/>
    <d v="2025-03-03T00:00:00"/>
    <x v="2"/>
    <s v="Lenovo ThinkPad"/>
    <s v="03.03.2021"/>
    <n v="1415.97"/>
    <x v="2"/>
    <s v="Aleksandr Weinhage"/>
    <s v="IT"/>
    <s v="Berlin"/>
  </r>
  <r>
    <s v="G0035"/>
    <n v="1001"/>
    <d v="2024-12-15T00:00:00"/>
    <m/>
    <x v="0"/>
    <s v="BenQ MW550"/>
    <s v="03.01.2024"/>
    <n v="644.54"/>
    <x v="0"/>
    <s v="Aleksandr Weinhage"/>
    <s v="IT"/>
    <s v="Berlin"/>
  </r>
  <r>
    <s v="G0004"/>
    <n v="1001"/>
    <d v="2025-08-11T00:00:00"/>
    <d v="2025-08-12T00:00:00"/>
    <x v="2"/>
    <s v="Dell XPS"/>
    <s v="05.05.2025"/>
    <n v="1007.88"/>
    <x v="1"/>
    <s v="Aleksandr Weinhage"/>
    <s v="IT"/>
    <s v="Berlin"/>
  </r>
  <r>
    <s v="G0033"/>
    <n v="1009"/>
    <d v="2025-03-24T00:00:00"/>
    <d v="2025-05-07T00:00:00"/>
    <x v="0"/>
    <s v="BenQ MW550"/>
    <s v="03.03.2022"/>
    <n v="1212.29"/>
    <x v="0"/>
    <s v="Univ.Prof. Heimo Karge"/>
    <s v="Marketing"/>
    <s v="Hamburg"/>
  </r>
  <r>
    <s v="G0033"/>
    <n v="1002"/>
    <d v="2025-03-25T00:00:00"/>
    <m/>
    <x v="0"/>
    <s v="BenQ MW550"/>
    <s v="03.03.2022"/>
    <n v="1212.29"/>
    <x v="0"/>
    <s v="Eleni Hauffer"/>
    <s v="IT"/>
    <s v="Berlin"/>
  </r>
  <r>
    <s v="G0005"/>
    <n v="1010"/>
    <d v="2025-08-30T00:00:00"/>
    <d v="2025-09-25T00:00:00"/>
    <x v="1"/>
    <s v="Canon Pixma"/>
    <s v="03.11.2021"/>
    <n v="823.23"/>
    <x v="0"/>
    <s v="Carolin Hande"/>
    <s v="IT"/>
    <s v="Hamburg"/>
  </r>
  <r>
    <s v="G0016"/>
    <n v="1007"/>
    <d v="2025-05-18T00:00:00"/>
    <d v="2025-07-08T00:00:00"/>
    <x v="1"/>
    <s v="Canon Pixma"/>
    <s v="30.03.2023"/>
    <n v="1501.06"/>
    <x v="0"/>
    <s v="Orhan Siering MBA."/>
    <s v="IT"/>
    <s v="Berlin"/>
  </r>
  <r>
    <s v="G0016"/>
    <n v="1010"/>
    <d v="2025-05-31T00:00:00"/>
    <d v="2025-10-02T00:00:00"/>
    <x v="1"/>
    <s v="Canon Pixma"/>
    <s v="30.03.2023"/>
    <n v="1501.06"/>
    <x v="0"/>
    <s v="Carolin Hande"/>
    <s v="IT"/>
    <s v="Hamburg"/>
  </r>
  <r>
    <s v="G0006"/>
    <n v="1007"/>
    <d v="2024-07-03T00:00:00"/>
    <m/>
    <x v="4"/>
    <s v="Samsung S21"/>
    <s v="01.01.2024"/>
    <n v="1257.96"/>
    <x v="1"/>
    <s v="Orhan Siering MBA."/>
    <s v="IT"/>
    <s v="Berli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08064-23DE-44D6-A746-7FA6107D9706}" name="PivotTable2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2">
  <location ref="A3:E11" firstHeaderRow="1" firstDataRow="2" firstDataCol="1"/>
  <pivotFields count="12">
    <pivotField dataField="1" showAll="0"/>
    <pivotField showAll="0"/>
    <pivotField numFmtId="14"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Anzahl von Gerätenummer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connectionId="4" xr16:uid="{809F81B0-18C5-4220-B9D0-168DFA80BDAE}" autoFormatId="16" applyNumberFormats="0" applyBorderFormats="0" applyFontFormats="0" applyPatternFormats="0" applyAlignmentFormats="0" applyWidthHeightFormats="0">
  <queryTableRefresh nextId="5">
    <queryTableFields count="4">
      <queryTableField id="1" name="Mitarbeiter-ID" tableColumnId="1"/>
      <queryTableField id="2" name="Name" tableColumnId="2"/>
      <queryTableField id="3" name="Abteilung" tableColumnId="3"/>
      <queryTableField id="4" name="Standor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2" xr16:uid="{38938B1C-DBD3-4953-AE2B-6FB505D3AE42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Gerätenummer" tableColumnId="1"/>
      <queryTableField id="2" name="Gerätetyp" tableColumnId="2"/>
      <queryTableField id="3" name="Modell" tableColumnId="3"/>
      <queryTableField id="4" name="Kaufdatum" tableColumnId="4"/>
      <queryTableField id="5" name="Netto-Kaufpreis" tableColumnId="5"/>
      <queryTableField id="6" name="Standort" tableColumnId="6"/>
      <queryTableField id="7" dataBound="0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3" xr16:uid="{38EEDBAD-257A-4113-A4BC-078ECF21A368}" autoFormatId="16" applyNumberFormats="0" applyBorderFormats="0" applyFontFormats="0" applyPatternFormats="0" applyAlignmentFormats="0" applyWidthHeightFormats="0">
  <queryTableRefresh nextId="18">
    <queryTableFields count="12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  <queryTableField id="10" name="Geraete.Gerätetyp.1" tableColumnId="10"/>
      <queryTableField id="11" name="Geraete.Modell.1" tableColumnId="11"/>
      <queryTableField id="12" name="Geraete.Kaufdatum.1" tableColumnId="12"/>
      <queryTableField id="13" name="Geraete.Netto-Kaufpreis.1" tableColumnId="13"/>
      <queryTableField id="14" name="Geraete.Standort.1" tableColumnId="14"/>
      <queryTableField id="15" name="Mitarbeiter.Name" tableColumnId="15"/>
      <queryTableField id="16" name="Mitarbeiter.Abteilung" tableColumnId="16"/>
      <queryTableField id="17" name="Mitarbeiter.Standort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DC23C2BF-174C-4CA7-80B5-CE26673CB176}" autoFormatId="16" applyNumberFormats="0" applyBorderFormats="0" applyFontFormats="0" applyPatternFormats="0" applyAlignmentFormats="0" applyWidthHeightFormats="0">
  <queryTableRefresh nextId="5">
    <queryTableFields count="4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B108E9-5E7A-42D9-BCB7-EEFB1C6C11C3}" name="Mitarbeiter" displayName="Mitarbeiter" ref="A1:D13" tableType="queryTable" totalsRowShown="0">
  <autoFilter ref="A1:D13" xr:uid="{8BB108E9-5E7A-42D9-BCB7-EEFB1C6C11C3}"/>
  <tableColumns count="4">
    <tableColumn id="1" xr3:uid="{4111BAC4-C86A-4908-9BBE-8341137F56F5}" uniqueName="1" name="Mitarbeiter-ID" queryTableFieldId="1"/>
    <tableColumn id="2" xr3:uid="{7CAA53F1-DAD3-42DB-BF3F-187E805EC56A}" uniqueName="2" name="Name" queryTableFieldId="2" dataDxfId="22"/>
    <tableColumn id="3" xr3:uid="{69F9E89A-C6BD-470E-94D0-23B2679DD242}" uniqueName="3" name="Abteilung" queryTableFieldId="3" dataDxfId="21"/>
    <tableColumn id="4" xr3:uid="{C9125458-EB2C-4B52-8B87-CE81351C6500}" uniqueName="4" name="Standort" queryTableFieldId="4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5EDBB6-9DEA-431F-A79F-4F010F154E72}" name="Geraete" displayName="Geraete" ref="A1:G36" tableType="queryTable" totalsRowShown="0">
  <autoFilter ref="A1:G36" xr:uid="{D75EDBB6-9DEA-431F-A79F-4F010F154E72}"/>
  <tableColumns count="7">
    <tableColumn id="1" xr3:uid="{C9683A72-B1D3-4323-964F-5262C920D13A}" uniqueName="1" name="Gerätenummer" queryTableFieldId="1" dataDxfId="19"/>
    <tableColumn id="2" xr3:uid="{4BDB1687-CEEC-45F6-9020-42E9440A0A99}" uniqueName="2" name="Gerätetyp" queryTableFieldId="2" dataDxfId="18"/>
    <tableColumn id="3" xr3:uid="{C74385E5-16BF-4B23-ADC7-5EC4F06B0BB6}" uniqueName="3" name="Modell" queryTableFieldId="3" dataDxfId="17"/>
    <tableColumn id="4" xr3:uid="{FB4F2C3C-45D1-4D00-8100-96E6518C5693}" uniqueName="4" name="Kaufdatum" queryTableFieldId="4" dataDxfId="16"/>
    <tableColumn id="5" xr3:uid="{30F140D4-1EA5-4E15-BA43-D9CF26089CD2}" uniqueName="5" name="Netto-Kaufpreis" queryTableFieldId="5" dataDxfId="15"/>
    <tableColumn id="6" xr3:uid="{5B927673-1BE7-460C-8C41-5AA92686167B}" uniqueName="6" name="Standort" queryTableFieldId="6" dataDxfId="14"/>
    <tableColumn id="7" xr3:uid="{9DE3A97F-2045-45C4-A0C4-8A2FD68E8C1F}" uniqueName="7" name="Nicht im Einsatz" queryTableFieldId="7" dataDxfId="13">
      <calculatedColumnFormula>IF(COUNTIFS(Ausleihen[Gerätenummer],Geraete[[#This Row],[Gerätenummer]],Ausleihen[Rückgabe am],"")=0,"Ja","Nein")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384748-8BAB-4008-81B3-839D0EDB8EED}" name="Gesamt" displayName="Gesamt" ref="A1:L46" tableType="queryTable" totalsRowShown="0">
  <autoFilter ref="A1:L46" xr:uid="{B6384748-8BAB-4008-81B3-839D0EDB8EED}"/>
  <tableColumns count="12">
    <tableColumn id="1" xr3:uid="{C018294C-D41A-473A-8F50-32046682BEDF}" uniqueName="1" name="Gerätenummer" queryTableFieldId="1" dataDxfId="12"/>
    <tableColumn id="2" xr3:uid="{9BA7042B-B525-4C8C-AEDD-96D112FEF2FC}" uniqueName="2" name="Mitarbeiter-ID" queryTableFieldId="2"/>
    <tableColumn id="3" xr3:uid="{13B21C29-BD40-4DE3-84E5-022CFF803F59}" uniqueName="3" name="Ausgabe am" queryTableFieldId="3" dataDxfId="11"/>
    <tableColumn id="4" xr3:uid="{DB158027-8904-4874-829D-526384628D4C}" uniqueName="4" name="Rückgabe am" queryTableFieldId="4" dataDxfId="10"/>
    <tableColumn id="10" xr3:uid="{C4F653E7-26E8-45C5-BE7E-F53D8826EFD1}" uniqueName="10" name="Geraete.Gerätetyp.1" queryTableFieldId="10" dataDxfId="9"/>
    <tableColumn id="11" xr3:uid="{28BA945A-8AE9-4C16-A397-040174C51F17}" uniqueName="11" name="Geraete.Modell.1" queryTableFieldId="11" dataDxfId="8"/>
    <tableColumn id="12" xr3:uid="{5228F3A2-CCA0-449C-B982-8B73A8D0E5F2}" uniqueName="12" name="Geraete.Kaufdatum.1" queryTableFieldId="12" dataDxfId="7"/>
    <tableColumn id="13" xr3:uid="{10D5FFC4-12F3-453B-B5BF-957063871887}" uniqueName="13" name="Geraete.Netto-Kaufpreis.1" queryTableFieldId="13"/>
    <tableColumn id="14" xr3:uid="{44DA6073-8872-42A8-B2C0-DCB4FA1E0D84}" uniqueName="14" name="Geraete.Standort.1" queryTableFieldId="14" dataDxfId="6"/>
    <tableColumn id="15" xr3:uid="{AAB1C294-AA9B-4C8A-ABB4-08AE2DC9777D}" uniqueName="15" name="Mitarbeiter.Name" queryTableFieldId="15" dataDxfId="5"/>
    <tableColumn id="16" xr3:uid="{B71E9ACD-D0B8-456A-9CA6-96314292CB8E}" uniqueName="16" name="Mitarbeiter.Abteilung" queryTableFieldId="16" dataDxfId="4"/>
    <tableColumn id="17" xr3:uid="{78334E36-D8F9-4008-BC3B-DB7477B80E90}" uniqueName="17" name="Mitarbeiter.Standort" queryTableFieldId="17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9726D9-FA38-4B94-90B1-132F61F700B3}" name="Ausleihen" displayName="Ausleihen" ref="A1:D46" tableType="queryTable" totalsRowShown="0">
  <autoFilter ref="A1:D46" xr:uid="{9C9726D9-FA38-4B94-90B1-132F61F700B3}"/>
  <tableColumns count="4">
    <tableColumn id="1" xr3:uid="{12E77856-A536-4320-BB4C-88C3DBFA26B3}" uniqueName="1" name="Gerätenummer" queryTableFieldId="1" dataDxfId="2"/>
    <tableColumn id="2" xr3:uid="{83C7E2CB-7B47-48BE-AF78-D3CDCBB2759F}" uniqueName="2" name="Mitarbeiter-ID" queryTableFieldId="2"/>
    <tableColumn id="3" xr3:uid="{C2390173-CBAF-49C9-B2FB-CB581A74FF9E}" uniqueName="3" name="Ausgabe am" queryTableFieldId="3" dataDxfId="1"/>
    <tableColumn id="4" xr3:uid="{ABF2AAB3-A561-489E-AD63-E731DF39B56D}" uniqueName="4" name="Rückgabe am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9BB4-0010-4B02-B117-E94EF58BD246}">
  <dimension ref="A1:D13"/>
  <sheetViews>
    <sheetView workbookViewId="0"/>
  </sheetViews>
  <sheetFormatPr baseColWidth="10" defaultRowHeight="14.4" x14ac:dyDescent="0.3"/>
  <cols>
    <col min="1" max="1" width="15" bestFit="1" customWidth="1"/>
    <col min="2" max="2" width="31" bestFit="1" customWidth="1"/>
    <col min="3" max="3" width="11.109375" bestFit="1" customWidth="1"/>
    <col min="4" max="4" width="10.44140625" bestFit="1" customWidth="1"/>
  </cols>
  <sheetData>
    <row r="1" spans="1:4" x14ac:dyDescent="0.3">
      <c r="A1" t="s">
        <v>1</v>
      </c>
      <c r="B1" t="s">
        <v>103</v>
      </c>
      <c r="C1" t="s">
        <v>104</v>
      </c>
      <c r="D1" t="s">
        <v>31</v>
      </c>
    </row>
    <row r="2" spans="1:4" x14ac:dyDescent="0.3">
      <c r="A2">
        <v>1001</v>
      </c>
      <c r="B2" t="s">
        <v>105</v>
      </c>
      <c r="C2" t="s">
        <v>106</v>
      </c>
      <c r="D2" t="s">
        <v>36</v>
      </c>
    </row>
    <row r="3" spans="1:4" x14ac:dyDescent="0.3">
      <c r="A3">
        <v>1002</v>
      </c>
      <c r="B3" t="s">
        <v>107</v>
      </c>
      <c r="C3" t="s">
        <v>106</v>
      </c>
      <c r="D3" t="s">
        <v>36</v>
      </c>
    </row>
    <row r="4" spans="1:4" x14ac:dyDescent="0.3">
      <c r="A4">
        <v>1003</v>
      </c>
      <c r="B4" t="s">
        <v>108</v>
      </c>
      <c r="C4" t="s">
        <v>109</v>
      </c>
      <c r="D4" t="s">
        <v>55</v>
      </c>
    </row>
    <row r="5" spans="1:4" x14ac:dyDescent="0.3">
      <c r="A5">
        <v>1004</v>
      </c>
      <c r="B5" t="s">
        <v>110</v>
      </c>
      <c r="C5" t="s">
        <v>111</v>
      </c>
      <c r="D5" t="s">
        <v>55</v>
      </c>
    </row>
    <row r="6" spans="1:4" x14ac:dyDescent="0.3">
      <c r="A6">
        <v>1005</v>
      </c>
      <c r="B6" t="s">
        <v>112</v>
      </c>
      <c r="C6" t="s">
        <v>111</v>
      </c>
      <c r="D6" t="s">
        <v>36</v>
      </c>
    </row>
    <row r="7" spans="1:4" x14ac:dyDescent="0.3">
      <c r="A7">
        <v>1006</v>
      </c>
      <c r="B7" t="s">
        <v>113</v>
      </c>
      <c r="C7" t="s">
        <v>111</v>
      </c>
      <c r="D7" t="s">
        <v>55</v>
      </c>
    </row>
    <row r="8" spans="1:4" x14ac:dyDescent="0.3">
      <c r="A8">
        <v>1007</v>
      </c>
      <c r="B8" t="s">
        <v>114</v>
      </c>
      <c r="C8" t="s">
        <v>106</v>
      </c>
      <c r="D8" t="s">
        <v>36</v>
      </c>
    </row>
    <row r="9" spans="1:4" x14ac:dyDescent="0.3">
      <c r="A9">
        <v>1008</v>
      </c>
      <c r="B9" t="s">
        <v>115</v>
      </c>
      <c r="C9" t="s">
        <v>106</v>
      </c>
      <c r="D9" t="s">
        <v>55</v>
      </c>
    </row>
    <row r="10" spans="1:4" x14ac:dyDescent="0.3">
      <c r="A10">
        <v>1009</v>
      </c>
      <c r="B10" t="s">
        <v>116</v>
      </c>
      <c r="C10" t="s">
        <v>117</v>
      </c>
      <c r="D10" t="s">
        <v>55</v>
      </c>
    </row>
    <row r="11" spans="1:4" x14ac:dyDescent="0.3">
      <c r="A11">
        <v>1010</v>
      </c>
      <c r="B11" t="s">
        <v>118</v>
      </c>
      <c r="C11" t="s">
        <v>106</v>
      </c>
      <c r="D11" t="s">
        <v>55</v>
      </c>
    </row>
    <row r="12" spans="1:4" x14ac:dyDescent="0.3">
      <c r="A12">
        <v>1011</v>
      </c>
      <c r="B12" t="s">
        <v>119</v>
      </c>
      <c r="C12" t="s">
        <v>106</v>
      </c>
      <c r="D12" t="s">
        <v>55</v>
      </c>
    </row>
    <row r="13" spans="1:4" x14ac:dyDescent="0.3">
      <c r="A13">
        <v>1012</v>
      </c>
      <c r="B13" t="s">
        <v>120</v>
      </c>
      <c r="C13" t="s">
        <v>106</v>
      </c>
      <c r="D13" t="s">
        <v>40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632A-A668-44CB-822E-C9B19364D764}">
  <dimension ref="A1:J36"/>
  <sheetViews>
    <sheetView workbookViewId="0">
      <selection activeCell="J5" sqref="J5"/>
    </sheetView>
  </sheetViews>
  <sheetFormatPr baseColWidth="10" defaultRowHeight="14.4" x14ac:dyDescent="0.3"/>
  <cols>
    <col min="1" max="1" width="15.88671875" bestFit="1" customWidth="1"/>
    <col min="3" max="3" width="14.33203125" bestFit="1" customWidth="1"/>
    <col min="4" max="4" width="12.33203125" bestFit="1" customWidth="1"/>
    <col min="5" max="5" width="16.44140625" bestFit="1" customWidth="1"/>
    <col min="6" max="6" width="10.44140625" bestFit="1" customWidth="1"/>
  </cols>
  <sheetData>
    <row r="1" spans="1:10" x14ac:dyDescent="0.3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129</v>
      </c>
    </row>
    <row r="2" spans="1:10" x14ac:dyDescent="0.3">
      <c r="A2" t="s">
        <v>32</v>
      </c>
      <c r="B2" t="s">
        <v>33</v>
      </c>
      <c r="C2" t="s">
        <v>34</v>
      </c>
      <c r="D2" t="s">
        <v>35</v>
      </c>
      <c r="E2">
        <v>1342.83</v>
      </c>
      <c r="F2" t="s">
        <v>36</v>
      </c>
      <c r="G2" t="str">
        <f>IF(COUNTIFS(Ausleihen[Gerätenummer],Geraete[[#This Row],[Gerätenummer]],Ausleihen[Rückgabe am],"")=0,"Ja","Nein")</f>
        <v>Ja</v>
      </c>
      <c r="J2">
        <f>COUNTIF(Geraete[Nicht im Einsatz],"Ja")</f>
        <v>24</v>
      </c>
    </row>
    <row r="3" spans="1:10" x14ac:dyDescent="0.3">
      <c r="A3" t="s">
        <v>37</v>
      </c>
      <c r="B3" t="s">
        <v>33</v>
      </c>
      <c r="C3" t="s">
        <v>38</v>
      </c>
      <c r="D3" t="s">
        <v>39</v>
      </c>
      <c r="E3">
        <v>1076.18</v>
      </c>
      <c r="F3" t="s">
        <v>40</v>
      </c>
      <c r="G3" t="str">
        <f>IF(COUNTIFS(Ausleihen[Gerätenummer],Geraete[[#This Row],[Gerätenummer]],Ausleihen[Rückgabe am],"")=0,"Ja","Nein")</f>
        <v>Ja</v>
      </c>
    </row>
    <row r="4" spans="1:10" x14ac:dyDescent="0.3">
      <c r="A4" t="s">
        <v>41</v>
      </c>
      <c r="B4" t="s">
        <v>33</v>
      </c>
      <c r="C4" t="s">
        <v>42</v>
      </c>
      <c r="D4" t="s">
        <v>43</v>
      </c>
      <c r="E4">
        <v>1931.54</v>
      </c>
      <c r="F4" t="s">
        <v>40</v>
      </c>
      <c r="G4" t="str">
        <f>IF(COUNTIFS(Ausleihen[Gerätenummer],Geraete[[#This Row],[Gerätenummer]],Ausleihen[Rückgabe am],"")=0,"Ja","Nein")</f>
        <v>Ja</v>
      </c>
      <c r="J4">
        <f>SUMIF(Geraete[Nicht im Einsatz],"Ja",Geraete[Netto-Kaufpreis])</f>
        <v>33239.1</v>
      </c>
    </row>
    <row r="5" spans="1:10" x14ac:dyDescent="0.3">
      <c r="A5" t="s">
        <v>22</v>
      </c>
      <c r="B5" t="s">
        <v>44</v>
      </c>
      <c r="C5" t="s">
        <v>45</v>
      </c>
      <c r="D5" t="s">
        <v>46</v>
      </c>
      <c r="E5">
        <v>1007.88</v>
      </c>
      <c r="F5" t="s">
        <v>40</v>
      </c>
      <c r="G5" t="str">
        <f>IF(COUNTIFS(Ausleihen[Gerätenummer],Geraete[[#This Row],[Gerätenummer]],Ausleihen[Rückgabe am],"")=0,"Ja","Nein")</f>
        <v>Ja</v>
      </c>
    </row>
    <row r="6" spans="1:10" x14ac:dyDescent="0.3">
      <c r="A6" t="s">
        <v>9</v>
      </c>
      <c r="B6" t="s">
        <v>47</v>
      </c>
      <c r="C6" t="s">
        <v>48</v>
      </c>
      <c r="D6" t="s">
        <v>49</v>
      </c>
      <c r="E6">
        <v>823.23</v>
      </c>
      <c r="F6" t="s">
        <v>36</v>
      </c>
      <c r="G6" t="str">
        <f>IF(COUNTIFS(Ausleihen[Gerätenummer],Geraete[[#This Row],[Gerätenummer]],Ausleihen[Rückgabe am],"")=0,"Ja","Nein")</f>
        <v>Nein</v>
      </c>
    </row>
    <row r="7" spans="1:10" x14ac:dyDescent="0.3">
      <c r="A7" t="s">
        <v>8</v>
      </c>
      <c r="B7" t="s">
        <v>50</v>
      </c>
      <c r="C7" t="s">
        <v>51</v>
      </c>
      <c r="D7" t="s">
        <v>52</v>
      </c>
      <c r="E7">
        <v>1257.96</v>
      </c>
      <c r="F7" t="s">
        <v>40</v>
      </c>
      <c r="G7" t="str">
        <f>IF(COUNTIFS(Ausleihen[Gerätenummer],Geraete[[#This Row],[Gerätenummer]],Ausleihen[Rückgabe am],"")=0,"Ja","Nein")</f>
        <v>Nein</v>
      </c>
    </row>
    <row r="8" spans="1:10" x14ac:dyDescent="0.3">
      <c r="A8" t="s">
        <v>21</v>
      </c>
      <c r="B8" t="s">
        <v>44</v>
      </c>
      <c r="C8" t="s">
        <v>53</v>
      </c>
      <c r="D8" t="s">
        <v>54</v>
      </c>
      <c r="E8">
        <v>869.09</v>
      </c>
      <c r="F8" t="s">
        <v>55</v>
      </c>
      <c r="G8" t="str">
        <f>IF(COUNTIFS(Ausleihen[Gerätenummer],Geraete[[#This Row],[Gerätenummer]],Ausleihen[Rückgabe am],"")=0,"Ja","Nein")</f>
        <v>Nein</v>
      </c>
    </row>
    <row r="9" spans="1:10" x14ac:dyDescent="0.3">
      <c r="A9" t="s">
        <v>56</v>
      </c>
      <c r="B9" t="s">
        <v>57</v>
      </c>
      <c r="C9" t="s">
        <v>58</v>
      </c>
      <c r="D9" t="s">
        <v>59</v>
      </c>
      <c r="E9">
        <v>1323.76</v>
      </c>
      <c r="F9" t="s">
        <v>55</v>
      </c>
      <c r="G9" t="str">
        <f>IF(COUNTIFS(Ausleihen[Gerätenummer],Geraete[[#This Row],[Gerätenummer]],Ausleihen[Rückgabe am],"")=0,"Ja","Nein")</f>
        <v>Ja</v>
      </c>
    </row>
    <row r="10" spans="1:10" x14ac:dyDescent="0.3">
      <c r="A10" t="s">
        <v>10</v>
      </c>
      <c r="B10" t="s">
        <v>44</v>
      </c>
      <c r="C10" t="s">
        <v>45</v>
      </c>
      <c r="D10" t="s">
        <v>60</v>
      </c>
      <c r="E10">
        <v>1458.02</v>
      </c>
      <c r="F10" t="s">
        <v>40</v>
      </c>
      <c r="G10" t="str">
        <f>IF(COUNTIFS(Ausleihen[Gerätenummer],Geraete[[#This Row],[Gerätenummer]],Ausleihen[Rückgabe am],"")=0,"Ja","Nein")</f>
        <v>Ja</v>
      </c>
    </row>
    <row r="11" spans="1:10" x14ac:dyDescent="0.3">
      <c r="A11" t="s">
        <v>61</v>
      </c>
      <c r="B11" t="s">
        <v>44</v>
      </c>
      <c r="C11" t="s">
        <v>45</v>
      </c>
      <c r="D11" t="s">
        <v>62</v>
      </c>
      <c r="E11">
        <v>1786.37</v>
      </c>
      <c r="F11" t="s">
        <v>40</v>
      </c>
      <c r="G11" t="str">
        <f>IF(COUNTIFS(Ausleihen[Gerätenummer],Geraete[[#This Row],[Gerätenummer]],Ausleihen[Rückgabe am],"")=0,"Ja","Nein")</f>
        <v>Ja</v>
      </c>
    </row>
    <row r="12" spans="1:10" x14ac:dyDescent="0.3">
      <c r="A12" t="s">
        <v>11</v>
      </c>
      <c r="B12" t="s">
        <v>47</v>
      </c>
      <c r="C12" t="s">
        <v>63</v>
      </c>
      <c r="D12" t="s">
        <v>64</v>
      </c>
      <c r="E12">
        <v>1417.1</v>
      </c>
      <c r="F12" t="s">
        <v>40</v>
      </c>
      <c r="G12" t="str">
        <f>IF(COUNTIFS(Ausleihen[Gerätenummer],Geraete[[#This Row],[Gerätenummer]],Ausleihen[Rückgabe am],"")=0,"Ja","Nein")</f>
        <v>Ja</v>
      </c>
    </row>
    <row r="13" spans="1:10" x14ac:dyDescent="0.3">
      <c r="A13" t="s">
        <v>65</v>
      </c>
      <c r="B13" t="s">
        <v>33</v>
      </c>
      <c r="C13" t="s">
        <v>34</v>
      </c>
      <c r="D13" t="s">
        <v>66</v>
      </c>
      <c r="E13">
        <v>968.43</v>
      </c>
      <c r="F13" t="s">
        <v>55</v>
      </c>
      <c r="G13" t="str">
        <f>IF(COUNTIFS(Ausleihen[Gerätenummer],Geraete[[#This Row],[Gerätenummer]],Ausleihen[Rückgabe am],"")=0,"Ja","Nein")</f>
        <v>Ja</v>
      </c>
    </row>
    <row r="14" spans="1:10" x14ac:dyDescent="0.3">
      <c r="A14" t="s">
        <v>13</v>
      </c>
      <c r="B14" t="s">
        <v>47</v>
      </c>
      <c r="C14" t="s">
        <v>48</v>
      </c>
      <c r="D14" t="s">
        <v>67</v>
      </c>
      <c r="E14">
        <v>1898.65</v>
      </c>
      <c r="F14" t="s">
        <v>55</v>
      </c>
      <c r="G14" t="str">
        <f>IF(COUNTIFS(Ausleihen[Gerätenummer],Geraete[[#This Row],[Gerätenummer]],Ausleihen[Rückgabe am],"")=0,"Ja","Nein")</f>
        <v>Ja</v>
      </c>
    </row>
    <row r="15" spans="1:10" x14ac:dyDescent="0.3">
      <c r="A15" t="s">
        <v>25</v>
      </c>
      <c r="B15" t="s">
        <v>44</v>
      </c>
      <c r="C15" t="s">
        <v>53</v>
      </c>
      <c r="D15" t="s">
        <v>68</v>
      </c>
      <c r="E15">
        <v>1415.97</v>
      </c>
      <c r="F15" t="s">
        <v>55</v>
      </c>
      <c r="G15" t="str">
        <f>IF(COUNTIFS(Ausleihen[Gerätenummer],Geraete[[#This Row],[Gerätenummer]],Ausleihen[Rückgabe am],"")=0,"Ja","Nein")</f>
        <v>Ja</v>
      </c>
    </row>
    <row r="16" spans="1:10" x14ac:dyDescent="0.3">
      <c r="A16" t="s">
        <v>15</v>
      </c>
      <c r="B16" t="s">
        <v>50</v>
      </c>
      <c r="C16" t="s">
        <v>69</v>
      </c>
      <c r="D16" t="s">
        <v>70</v>
      </c>
      <c r="E16">
        <v>661.44</v>
      </c>
      <c r="F16" t="s">
        <v>40</v>
      </c>
      <c r="G16" t="str">
        <f>IF(COUNTIFS(Ausleihen[Gerätenummer],Geraete[[#This Row],[Gerätenummer]],Ausleihen[Rückgabe am],"")=0,"Ja","Nein")</f>
        <v>Nein</v>
      </c>
    </row>
    <row r="17" spans="1:7" x14ac:dyDescent="0.3">
      <c r="A17" t="s">
        <v>7</v>
      </c>
      <c r="B17" t="s">
        <v>47</v>
      </c>
      <c r="C17" t="s">
        <v>48</v>
      </c>
      <c r="D17" t="s">
        <v>71</v>
      </c>
      <c r="E17">
        <v>1501.06</v>
      </c>
      <c r="F17" t="s">
        <v>36</v>
      </c>
      <c r="G17" t="str">
        <f>IF(COUNTIFS(Ausleihen[Gerätenummer],Geraete[[#This Row],[Gerätenummer]],Ausleihen[Rückgabe am],"")=0,"Ja","Nein")</f>
        <v>Nein</v>
      </c>
    </row>
    <row r="18" spans="1:7" x14ac:dyDescent="0.3">
      <c r="A18" t="s">
        <v>72</v>
      </c>
      <c r="B18" t="s">
        <v>50</v>
      </c>
      <c r="C18" t="s">
        <v>51</v>
      </c>
      <c r="D18" t="s">
        <v>73</v>
      </c>
      <c r="E18">
        <v>1748.56</v>
      </c>
      <c r="F18" t="s">
        <v>36</v>
      </c>
      <c r="G18" t="str">
        <f>IF(COUNTIFS(Ausleihen[Gerätenummer],Geraete[[#This Row],[Gerätenummer]],Ausleihen[Rückgabe am],"")=0,"Ja","Nein")</f>
        <v>Ja</v>
      </c>
    </row>
    <row r="19" spans="1:7" x14ac:dyDescent="0.3">
      <c r="A19" t="s">
        <v>17</v>
      </c>
      <c r="B19" t="s">
        <v>33</v>
      </c>
      <c r="C19" t="s">
        <v>42</v>
      </c>
      <c r="D19" t="s">
        <v>74</v>
      </c>
      <c r="E19">
        <v>1688.07</v>
      </c>
      <c r="F19" t="s">
        <v>40</v>
      </c>
      <c r="G19" t="str">
        <f>IF(COUNTIFS(Ausleihen[Gerätenummer],Geraete[[#This Row],[Gerätenummer]],Ausleihen[Rückgabe am],"")=0,"Ja","Nein")</f>
        <v>Ja</v>
      </c>
    </row>
    <row r="20" spans="1:7" x14ac:dyDescent="0.3">
      <c r="A20" t="s">
        <v>75</v>
      </c>
      <c r="B20" t="s">
        <v>47</v>
      </c>
      <c r="C20" t="s">
        <v>76</v>
      </c>
      <c r="D20" t="s">
        <v>77</v>
      </c>
      <c r="E20">
        <v>737.57</v>
      </c>
      <c r="F20" t="s">
        <v>55</v>
      </c>
      <c r="G20" t="str">
        <f>IF(COUNTIFS(Ausleihen[Gerätenummer],Geraete[[#This Row],[Gerätenummer]],Ausleihen[Rückgabe am],"")=0,"Ja","Nein")</f>
        <v>Ja</v>
      </c>
    </row>
    <row r="21" spans="1:7" x14ac:dyDescent="0.3">
      <c r="A21" t="s">
        <v>78</v>
      </c>
      <c r="B21" t="s">
        <v>50</v>
      </c>
      <c r="C21" t="s">
        <v>51</v>
      </c>
      <c r="D21" t="s">
        <v>79</v>
      </c>
      <c r="E21">
        <v>740.2</v>
      </c>
      <c r="F21" t="s">
        <v>40</v>
      </c>
      <c r="G21" t="str">
        <f>IF(COUNTIFS(Ausleihen[Gerätenummer],Geraete[[#This Row],[Gerätenummer]],Ausleihen[Rückgabe am],"")=0,"Ja","Nein")</f>
        <v>Ja</v>
      </c>
    </row>
    <row r="22" spans="1:7" x14ac:dyDescent="0.3">
      <c r="A22" t="s">
        <v>5</v>
      </c>
      <c r="B22" t="s">
        <v>80</v>
      </c>
      <c r="C22" t="s">
        <v>81</v>
      </c>
      <c r="D22" t="s">
        <v>82</v>
      </c>
      <c r="E22">
        <v>1134.1600000000001</v>
      </c>
      <c r="F22" t="s">
        <v>40</v>
      </c>
      <c r="G22" t="str">
        <f>IF(COUNTIFS(Ausleihen[Gerätenummer],Geraete[[#This Row],[Gerätenummer]],Ausleihen[Rückgabe am],"")=0,"Ja","Nein")</f>
        <v>Ja</v>
      </c>
    </row>
    <row r="23" spans="1:7" x14ac:dyDescent="0.3">
      <c r="A23" t="s">
        <v>16</v>
      </c>
      <c r="B23" t="s">
        <v>33</v>
      </c>
      <c r="C23" t="s">
        <v>42</v>
      </c>
      <c r="D23" t="s">
        <v>83</v>
      </c>
      <c r="E23">
        <v>1591.98</v>
      </c>
      <c r="F23" t="s">
        <v>55</v>
      </c>
      <c r="G23" t="str">
        <f>IF(COUNTIFS(Ausleihen[Gerätenummer],Geraete[[#This Row],[Gerätenummer]],Ausleihen[Rückgabe am],"")=0,"Ja","Nein")</f>
        <v>Ja</v>
      </c>
    </row>
    <row r="24" spans="1:7" x14ac:dyDescent="0.3">
      <c r="A24" t="s">
        <v>84</v>
      </c>
      <c r="B24" t="s">
        <v>47</v>
      </c>
      <c r="C24" t="s">
        <v>48</v>
      </c>
      <c r="D24" t="s">
        <v>85</v>
      </c>
      <c r="E24">
        <v>1335.34</v>
      </c>
      <c r="F24" t="s">
        <v>55</v>
      </c>
      <c r="G24" t="str">
        <f>IF(COUNTIFS(Ausleihen[Gerätenummer],Geraete[[#This Row],[Gerätenummer]],Ausleihen[Rückgabe am],"")=0,"Ja","Nein")</f>
        <v>Ja</v>
      </c>
    </row>
    <row r="25" spans="1:7" x14ac:dyDescent="0.3">
      <c r="A25" t="s">
        <v>6</v>
      </c>
      <c r="B25" t="s">
        <v>80</v>
      </c>
      <c r="C25" t="s">
        <v>86</v>
      </c>
      <c r="D25" t="s">
        <v>87</v>
      </c>
      <c r="E25">
        <v>750.91</v>
      </c>
      <c r="F25" t="s">
        <v>36</v>
      </c>
      <c r="G25" t="str">
        <f>IF(COUNTIFS(Ausleihen[Gerätenummer],Geraete[[#This Row],[Gerätenummer]],Ausleihen[Rückgabe am],"")=0,"Ja","Nein")</f>
        <v>Nein</v>
      </c>
    </row>
    <row r="26" spans="1:7" x14ac:dyDescent="0.3">
      <c r="A26" t="s">
        <v>23</v>
      </c>
      <c r="B26" t="s">
        <v>57</v>
      </c>
      <c r="C26" t="s">
        <v>58</v>
      </c>
      <c r="D26" t="s">
        <v>88</v>
      </c>
      <c r="E26">
        <v>545.46</v>
      </c>
      <c r="F26" t="s">
        <v>36</v>
      </c>
      <c r="G26" t="str">
        <f>IF(COUNTIFS(Ausleihen[Gerätenummer],Geraete[[#This Row],[Gerätenummer]],Ausleihen[Rückgabe am],"")=0,"Ja","Nein")</f>
        <v>Nein</v>
      </c>
    </row>
    <row r="27" spans="1:7" x14ac:dyDescent="0.3">
      <c r="A27" t="s">
        <v>89</v>
      </c>
      <c r="B27" t="s">
        <v>44</v>
      </c>
      <c r="C27" t="s">
        <v>45</v>
      </c>
      <c r="D27" t="s">
        <v>90</v>
      </c>
      <c r="E27">
        <v>1403.91</v>
      </c>
      <c r="F27" t="s">
        <v>55</v>
      </c>
      <c r="G27" t="str">
        <f>IF(COUNTIFS(Ausleihen[Gerätenummer],Geraete[[#This Row],[Gerätenummer]],Ausleihen[Rückgabe am],"")=0,"Ja","Nein")</f>
        <v>Ja</v>
      </c>
    </row>
    <row r="28" spans="1:7" x14ac:dyDescent="0.3">
      <c r="A28" t="s">
        <v>19</v>
      </c>
      <c r="B28" t="s">
        <v>80</v>
      </c>
      <c r="C28" t="s">
        <v>81</v>
      </c>
      <c r="D28" t="s">
        <v>91</v>
      </c>
      <c r="E28">
        <v>501.64</v>
      </c>
      <c r="F28" t="s">
        <v>40</v>
      </c>
      <c r="G28" t="str">
        <f>IF(COUNTIFS(Ausleihen[Gerätenummer],Geraete[[#This Row],[Gerätenummer]],Ausleihen[Rückgabe am],"")=0,"Ja","Nein")</f>
        <v>Ja</v>
      </c>
    </row>
    <row r="29" spans="1:7" x14ac:dyDescent="0.3">
      <c r="A29" t="s">
        <v>12</v>
      </c>
      <c r="B29" t="s">
        <v>57</v>
      </c>
      <c r="C29" t="s">
        <v>58</v>
      </c>
      <c r="D29" t="s">
        <v>92</v>
      </c>
      <c r="E29">
        <v>1246.58</v>
      </c>
      <c r="F29" t="s">
        <v>55</v>
      </c>
      <c r="G29" t="str">
        <f>IF(COUNTIFS(Ausleihen[Gerätenummer],Geraete[[#This Row],[Gerätenummer]],Ausleihen[Rückgabe am],"")=0,"Ja","Nein")</f>
        <v>Nein</v>
      </c>
    </row>
    <row r="30" spans="1:7" x14ac:dyDescent="0.3">
      <c r="A30" t="s">
        <v>14</v>
      </c>
      <c r="B30" t="s">
        <v>44</v>
      </c>
      <c r="C30" t="s">
        <v>53</v>
      </c>
      <c r="D30" t="s">
        <v>93</v>
      </c>
      <c r="E30">
        <v>1553.15</v>
      </c>
      <c r="F30" t="s">
        <v>55</v>
      </c>
      <c r="G30" t="str">
        <f>IF(COUNTIFS(Ausleihen[Gerätenummer],Geraete[[#This Row],[Gerätenummer]],Ausleihen[Rückgabe am],"")=0,"Ja","Nein")</f>
        <v>Ja</v>
      </c>
    </row>
    <row r="31" spans="1:7" x14ac:dyDescent="0.3">
      <c r="A31" t="s">
        <v>20</v>
      </c>
      <c r="B31" t="s">
        <v>57</v>
      </c>
      <c r="C31" t="s">
        <v>58</v>
      </c>
      <c r="D31" t="s">
        <v>94</v>
      </c>
      <c r="E31">
        <v>1629.76</v>
      </c>
      <c r="F31" t="s">
        <v>40</v>
      </c>
      <c r="G31" t="str">
        <f>IF(COUNTIFS(Ausleihen[Gerätenummer],Geraete[[#This Row],[Gerätenummer]],Ausleihen[Rückgabe am],"")=0,"Ja","Nein")</f>
        <v>Ja</v>
      </c>
    </row>
    <row r="32" spans="1:7" x14ac:dyDescent="0.3">
      <c r="A32" t="s">
        <v>18</v>
      </c>
      <c r="B32" t="s">
        <v>44</v>
      </c>
      <c r="C32" t="s">
        <v>95</v>
      </c>
      <c r="D32" t="s">
        <v>96</v>
      </c>
      <c r="E32">
        <v>1095.6199999999999</v>
      </c>
      <c r="F32" t="s">
        <v>40</v>
      </c>
      <c r="G32" t="str">
        <f>IF(COUNTIFS(Ausleihen[Gerätenummer],Geraete[[#This Row],[Gerätenummer]],Ausleihen[Rückgabe am],"")=0,"Ja","Nein")</f>
        <v>Nein</v>
      </c>
    </row>
    <row r="33" spans="1:7" x14ac:dyDescent="0.3">
      <c r="A33" t="s">
        <v>24</v>
      </c>
      <c r="B33" t="s">
        <v>44</v>
      </c>
      <c r="C33" t="s">
        <v>53</v>
      </c>
      <c r="D33" t="s">
        <v>97</v>
      </c>
      <c r="E33">
        <v>1801.36</v>
      </c>
      <c r="F33" t="s">
        <v>40</v>
      </c>
      <c r="G33" t="str">
        <f>IF(COUNTIFS(Ausleihen[Gerätenummer],Geraete[[#This Row],[Gerätenummer]],Ausleihen[Rückgabe am],"")=0,"Ja","Nein")</f>
        <v>Ja</v>
      </c>
    </row>
    <row r="34" spans="1:7" x14ac:dyDescent="0.3">
      <c r="A34" t="s">
        <v>26</v>
      </c>
      <c r="B34" t="s">
        <v>57</v>
      </c>
      <c r="C34" t="s">
        <v>98</v>
      </c>
      <c r="D34" t="s">
        <v>99</v>
      </c>
      <c r="E34">
        <v>1212.29</v>
      </c>
      <c r="F34" t="s">
        <v>36</v>
      </c>
      <c r="G34" t="str">
        <f>IF(COUNTIFS(Ausleihen[Gerätenummer],Geraete[[#This Row],[Gerätenummer]],Ausleihen[Rückgabe am],"")=0,"Ja","Nein")</f>
        <v>Nein</v>
      </c>
    </row>
    <row r="35" spans="1:7" x14ac:dyDescent="0.3">
      <c r="A35" t="s">
        <v>100</v>
      </c>
      <c r="B35" t="s">
        <v>50</v>
      </c>
      <c r="C35" t="s">
        <v>51</v>
      </c>
      <c r="D35" t="s">
        <v>101</v>
      </c>
      <c r="E35">
        <v>1746.67</v>
      </c>
      <c r="F35" t="s">
        <v>55</v>
      </c>
      <c r="G35" t="str">
        <f>IF(COUNTIFS(Ausleihen[Gerätenummer],Geraete[[#This Row],[Gerätenummer]],Ausleihen[Rückgabe am],"")=0,"Ja","Nein")</f>
        <v>Ja</v>
      </c>
    </row>
    <row r="36" spans="1:7" x14ac:dyDescent="0.3">
      <c r="A36" t="s">
        <v>4</v>
      </c>
      <c r="B36" t="s">
        <v>57</v>
      </c>
      <c r="C36" t="s">
        <v>98</v>
      </c>
      <c r="D36" t="s">
        <v>102</v>
      </c>
      <c r="E36">
        <v>644.54</v>
      </c>
      <c r="F36" t="s">
        <v>36</v>
      </c>
      <c r="G36" t="str">
        <f>IF(COUNTIFS(Ausleihen[Gerätenummer],Geraete[[#This Row],[Gerätenummer]],Ausleihen[Rückgabe am],"")=0,"Ja","Nein")</f>
        <v>Nein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C340-6E69-4D30-BD19-C214E73CFA76}">
  <dimension ref="A3:E11"/>
  <sheetViews>
    <sheetView workbookViewId="0">
      <selection activeCell="C23" sqref="C23"/>
    </sheetView>
  </sheetViews>
  <sheetFormatPr baseColWidth="10" defaultRowHeight="14.4" x14ac:dyDescent="0.3"/>
  <cols>
    <col min="1" max="1" width="23" bestFit="1" customWidth="1"/>
    <col min="2" max="2" width="22.109375" bestFit="1" customWidth="1"/>
    <col min="3" max="3" width="8.6640625" bestFit="1" customWidth="1"/>
    <col min="4" max="4" width="8.44140625" bestFit="1" customWidth="1"/>
    <col min="5" max="5" width="14.6640625" bestFit="1" customWidth="1"/>
  </cols>
  <sheetData>
    <row r="3" spans="1:5" x14ac:dyDescent="0.3">
      <c r="A3" s="2" t="s">
        <v>132</v>
      </c>
      <c r="B3" s="2" t="s">
        <v>133</v>
      </c>
    </row>
    <row r="4" spans="1:5" x14ac:dyDescent="0.3">
      <c r="A4" s="2" t="s">
        <v>130</v>
      </c>
      <c r="B4" t="s">
        <v>36</v>
      </c>
      <c r="C4" t="s">
        <v>55</v>
      </c>
      <c r="D4" t="s">
        <v>40</v>
      </c>
      <c r="E4" t="s">
        <v>131</v>
      </c>
    </row>
    <row r="5" spans="1:5" x14ac:dyDescent="0.3">
      <c r="A5" s="3" t="s">
        <v>57</v>
      </c>
      <c r="B5">
        <v>7</v>
      </c>
      <c r="C5">
        <v>3</v>
      </c>
      <c r="D5">
        <v>2</v>
      </c>
      <c r="E5">
        <v>12</v>
      </c>
    </row>
    <row r="6" spans="1:5" x14ac:dyDescent="0.3">
      <c r="A6" s="3" t="s">
        <v>47</v>
      </c>
      <c r="B6">
        <v>9</v>
      </c>
      <c r="C6">
        <v>2</v>
      </c>
      <c r="D6">
        <v>1</v>
      </c>
      <c r="E6">
        <v>12</v>
      </c>
    </row>
    <row r="7" spans="1:5" x14ac:dyDescent="0.3">
      <c r="A7" s="3" t="s">
        <v>44</v>
      </c>
      <c r="C7">
        <v>4</v>
      </c>
      <c r="D7">
        <v>6</v>
      </c>
      <c r="E7">
        <v>10</v>
      </c>
    </row>
    <row r="8" spans="1:5" x14ac:dyDescent="0.3">
      <c r="A8" s="3" t="s">
        <v>80</v>
      </c>
      <c r="B8">
        <v>2</v>
      </c>
      <c r="D8">
        <v>2</v>
      </c>
      <c r="E8">
        <v>4</v>
      </c>
    </row>
    <row r="9" spans="1:5" x14ac:dyDescent="0.3">
      <c r="A9" s="3" t="s">
        <v>50</v>
      </c>
      <c r="D9">
        <v>4</v>
      </c>
      <c r="E9">
        <v>4</v>
      </c>
    </row>
    <row r="10" spans="1:5" x14ac:dyDescent="0.3">
      <c r="A10" s="3" t="s">
        <v>33</v>
      </c>
      <c r="C10">
        <v>2</v>
      </c>
      <c r="D10">
        <v>1</v>
      </c>
      <c r="E10">
        <v>3</v>
      </c>
    </row>
    <row r="11" spans="1:5" x14ac:dyDescent="0.3">
      <c r="A11" s="3" t="s">
        <v>131</v>
      </c>
      <c r="B11">
        <v>18</v>
      </c>
      <c r="C11">
        <v>11</v>
      </c>
      <c r="D11">
        <v>16</v>
      </c>
      <c r="E11">
        <v>45</v>
      </c>
    </row>
  </sheetData>
  <pageMargins left="0.7" right="0.7" top="0.78740157499999996" bottom="0.78740157499999996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707E-64B3-439E-AF84-6B83160F074F}">
  <dimension ref="A1:L46"/>
  <sheetViews>
    <sheetView tabSelected="1" topLeftCell="A2" workbookViewId="0">
      <selection activeCell="E12" sqref="E12"/>
    </sheetView>
  </sheetViews>
  <sheetFormatPr baseColWidth="10" defaultRowHeight="14.4" x14ac:dyDescent="0.3"/>
  <cols>
    <col min="1" max="1" width="15.88671875" bestFit="1" customWidth="1"/>
    <col min="2" max="2" width="15" bestFit="1" customWidth="1"/>
    <col min="3" max="3" width="13.21875" bestFit="1" customWidth="1"/>
    <col min="4" max="4" width="14.33203125" bestFit="1" customWidth="1"/>
    <col min="5" max="5" width="20.44140625" bestFit="1" customWidth="1"/>
    <col min="6" max="6" width="17.6640625" bestFit="1" customWidth="1"/>
    <col min="7" max="7" width="21.21875" bestFit="1" customWidth="1"/>
    <col min="8" max="8" width="25.44140625" bestFit="1" customWidth="1"/>
    <col min="9" max="9" width="19.33203125" bestFit="1" customWidth="1"/>
    <col min="10" max="10" width="31" bestFit="1" customWidth="1"/>
    <col min="11" max="11" width="21.109375" bestFit="1" customWidth="1"/>
    <col min="12" max="13" width="20.44140625" bestFit="1" customWidth="1"/>
    <col min="14" max="14" width="17.6640625" bestFit="1" customWidth="1"/>
    <col min="15" max="15" width="21.21875" bestFit="1" customWidth="1"/>
    <col min="16" max="16" width="25.44140625" bestFit="1" customWidth="1"/>
    <col min="17" max="17" width="19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</row>
    <row r="2" spans="1:12" x14ac:dyDescent="0.3">
      <c r="A2" t="s">
        <v>4</v>
      </c>
      <c r="B2">
        <v>1009</v>
      </c>
      <c r="C2" s="1">
        <v>45421</v>
      </c>
      <c r="D2" s="1"/>
      <c r="E2" t="s">
        <v>57</v>
      </c>
      <c r="F2" t="s">
        <v>98</v>
      </c>
      <c r="G2" t="s">
        <v>102</v>
      </c>
      <c r="H2">
        <v>644.54</v>
      </c>
      <c r="I2" t="s">
        <v>36</v>
      </c>
      <c r="J2" t="s">
        <v>116</v>
      </c>
      <c r="K2" t="s">
        <v>117</v>
      </c>
      <c r="L2" t="s">
        <v>55</v>
      </c>
    </row>
    <row r="3" spans="1:12" x14ac:dyDescent="0.3">
      <c r="A3" t="s">
        <v>9</v>
      </c>
      <c r="B3">
        <v>1009</v>
      </c>
      <c r="C3" s="1">
        <v>45389</v>
      </c>
      <c r="D3" s="1"/>
      <c r="E3" t="s">
        <v>47</v>
      </c>
      <c r="F3" t="s">
        <v>48</v>
      </c>
      <c r="G3" t="s">
        <v>49</v>
      </c>
      <c r="H3">
        <v>823.23</v>
      </c>
      <c r="I3" t="s">
        <v>36</v>
      </c>
      <c r="J3" t="s">
        <v>116</v>
      </c>
      <c r="K3" t="s">
        <v>117</v>
      </c>
      <c r="L3" t="s">
        <v>55</v>
      </c>
    </row>
    <row r="4" spans="1:12" x14ac:dyDescent="0.3">
      <c r="A4" t="s">
        <v>4</v>
      </c>
      <c r="B4">
        <v>1001</v>
      </c>
      <c r="C4" s="1">
        <v>45297</v>
      </c>
      <c r="D4" s="1"/>
      <c r="E4" t="s">
        <v>57</v>
      </c>
      <c r="F4" t="s">
        <v>98</v>
      </c>
      <c r="G4" t="s">
        <v>102</v>
      </c>
      <c r="H4">
        <v>644.54</v>
      </c>
      <c r="I4" t="s">
        <v>36</v>
      </c>
      <c r="J4" t="s">
        <v>105</v>
      </c>
      <c r="K4" t="s">
        <v>106</v>
      </c>
      <c r="L4" t="s">
        <v>36</v>
      </c>
    </row>
    <row r="5" spans="1:12" x14ac:dyDescent="0.3">
      <c r="A5" t="s">
        <v>4</v>
      </c>
      <c r="B5">
        <v>1003</v>
      </c>
      <c r="C5" s="1">
        <v>45417</v>
      </c>
      <c r="D5" s="1"/>
      <c r="E5" t="s">
        <v>57</v>
      </c>
      <c r="F5" t="s">
        <v>98</v>
      </c>
      <c r="G5" t="s">
        <v>102</v>
      </c>
      <c r="H5">
        <v>644.54</v>
      </c>
      <c r="I5" t="s">
        <v>36</v>
      </c>
      <c r="J5" t="s">
        <v>108</v>
      </c>
      <c r="K5" t="s">
        <v>109</v>
      </c>
      <c r="L5" t="s">
        <v>55</v>
      </c>
    </row>
    <row r="6" spans="1:12" x14ac:dyDescent="0.3">
      <c r="A6" t="s">
        <v>7</v>
      </c>
      <c r="B6">
        <v>1003</v>
      </c>
      <c r="C6" s="1">
        <v>45330</v>
      </c>
      <c r="D6" s="1">
        <v>45817</v>
      </c>
      <c r="E6" t="s">
        <v>47</v>
      </c>
      <c r="F6" t="s">
        <v>48</v>
      </c>
      <c r="G6" t="s">
        <v>71</v>
      </c>
      <c r="H6">
        <v>1501.06</v>
      </c>
      <c r="I6" t="s">
        <v>36</v>
      </c>
      <c r="J6" t="s">
        <v>108</v>
      </c>
      <c r="K6" t="s">
        <v>109</v>
      </c>
      <c r="L6" t="s">
        <v>55</v>
      </c>
    </row>
    <row r="7" spans="1:12" x14ac:dyDescent="0.3">
      <c r="A7" t="s">
        <v>22</v>
      </c>
      <c r="B7">
        <v>1003</v>
      </c>
      <c r="C7" s="1">
        <v>45827</v>
      </c>
      <c r="D7" s="1">
        <v>45908</v>
      </c>
      <c r="E7" t="s">
        <v>44</v>
      </c>
      <c r="F7" t="s">
        <v>45</v>
      </c>
      <c r="G7" t="s">
        <v>46</v>
      </c>
      <c r="H7">
        <v>1007.88</v>
      </c>
      <c r="I7" t="s">
        <v>40</v>
      </c>
      <c r="J7" t="s">
        <v>108</v>
      </c>
      <c r="K7" t="s">
        <v>109</v>
      </c>
      <c r="L7" t="s">
        <v>55</v>
      </c>
    </row>
    <row r="8" spans="1:12" x14ac:dyDescent="0.3">
      <c r="A8" t="s">
        <v>7</v>
      </c>
      <c r="B8">
        <v>1002</v>
      </c>
      <c r="C8" s="1">
        <v>45799</v>
      </c>
      <c r="D8" s="1">
        <v>45808</v>
      </c>
      <c r="E8" t="s">
        <v>47</v>
      </c>
      <c r="F8" t="s">
        <v>48</v>
      </c>
      <c r="G8" t="s">
        <v>71</v>
      </c>
      <c r="H8">
        <v>1501.06</v>
      </c>
      <c r="I8" t="s">
        <v>36</v>
      </c>
      <c r="J8" t="s">
        <v>107</v>
      </c>
      <c r="K8" t="s">
        <v>106</v>
      </c>
      <c r="L8" t="s">
        <v>36</v>
      </c>
    </row>
    <row r="9" spans="1:12" x14ac:dyDescent="0.3">
      <c r="A9" t="s">
        <v>5</v>
      </c>
      <c r="B9">
        <v>1008</v>
      </c>
      <c r="C9" s="1">
        <v>45930</v>
      </c>
      <c r="D9" s="1">
        <v>45935</v>
      </c>
      <c r="E9" t="s">
        <v>80</v>
      </c>
      <c r="F9" t="s">
        <v>81</v>
      </c>
      <c r="G9" t="s">
        <v>82</v>
      </c>
      <c r="H9">
        <v>1134.1600000000001</v>
      </c>
      <c r="I9" t="s">
        <v>40</v>
      </c>
      <c r="J9" t="s">
        <v>115</v>
      </c>
      <c r="K9" t="s">
        <v>106</v>
      </c>
      <c r="L9" t="s">
        <v>55</v>
      </c>
    </row>
    <row r="10" spans="1:12" x14ac:dyDescent="0.3">
      <c r="A10" t="s">
        <v>6</v>
      </c>
      <c r="B10">
        <v>1008</v>
      </c>
      <c r="C10" s="1">
        <v>45375</v>
      </c>
      <c r="D10" s="1"/>
      <c r="E10" t="s">
        <v>80</v>
      </c>
      <c r="F10" t="s">
        <v>86</v>
      </c>
      <c r="G10" t="s">
        <v>87</v>
      </c>
      <c r="H10">
        <v>750.91</v>
      </c>
      <c r="I10" t="s">
        <v>36</v>
      </c>
      <c r="J10" t="s">
        <v>115</v>
      </c>
      <c r="K10" t="s">
        <v>106</v>
      </c>
      <c r="L10" t="s">
        <v>55</v>
      </c>
    </row>
    <row r="11" spans="1:12" x14ac:dyDescent="0.3">
      <c r="A11" t="s">
        <v>6</v>
      </c>
      <c r="B11">
        <v>1005</v>
      </c>
      <c r="C11" s="1">
        <v>45743</v>
      </c>
      <c r="D11" s="1">
        <v>45868</v>
      </c>
      <c r="E11" t="s">
        <v>80</v>
      </c>
      <c r="F11" t="s">
        <v>86</v>
      </c>
      <c r="G11" t="s">
        <v>87</v>
      </c>
      <c r="H11">
        <v>750.91</v>
      </c>
      <c r="I11" t="s">
        <v>36</v>
      </c>
      <c r="J11" t="s">
        <v>112</v>
      </c>
      <c r="K11" t="s">
        <v>111</v>
      </c>
      <c r="L11" t="s">
        <v>36</v>
      </c>
    </row>
    <row r="12" spans="1:12" x14ac:dyDescent="0.3">
      <c r="A12" t="s">
        <v>9</v>
      </c>
      <c r="B12">
        <v>1006</v>
      </c>
      <c r="C12" s="1">
        <v>45892</v>
      </c>
      <c r="D12" s="1">
        <v>45922</v>
      </c>
      <c r="E12" t="s">
        <v>47</v>
      </c>
      <c r="F12" t="s">
        <v>48</v>
      </c>
      <c r="G12" t="s">
        <v>49</v>
      </c>
      <c r="H12">
        <v>823.23</v>
      </c>
      <c r="I12" t="s">
        <v>36</v>
      </c>
      <c r="J12" t="s">
        <v>113</v>
      </c>
      <c r="K12" t="s">
        <v>111</v>
      </c>
      <c r="L12" t="s">
        <v>55</v>
      </c>
    </row>
    <row r="13" spans="1:12" x14ac:dyDescent="0.3">
      <c r="A13" t="s">
        <v>7</v>
      </c>
      <c r="B13">
        <v>1010</v>
      </c>
      <c r="C13" s="1">
        <v>45866</v>
      </c>
      <c r="D13" s="1"/>
      <c r="E13" t="s">
        <v>47</v>
      </c>
      <c r="F13" t="s">
        <v>48</v>
      </c>
      <c r="G13" t="s">
        <v>71</v>
      </c>
      <c r="H13">
        <v>1501.06</v>
      </c>
      <c r="I13" t="s">
        <v>36</v>
      </c>
      <c r="J13" t="s">
        <v>118</v>
      </c>
      <c r="K13" t="s">
        <v>106</v>
      </c>
      <c r="L13" t="s">
        <v>55</v>
      </c>
    </row>
    <row r="14" spans="1:12" x14ac:dyDescent="0.3">
      <c r="A14" t="s">
        <v>8</v>
      </c>
      <c r="B14">
        <v>1012</v>
      </c>
      <c r="C14" s="1">
        <v>45808</v>
      </c>
      <c r="D14" s="1">
        <v>45818</v>
      </c>
      <c r="E14" t="s">
        <v>50</v>
      </c>
      <c r="F14" t="s">
        <v>51</v>
      </c>
      <c r="G14" t="s">
        <v>52</v>
      </c>
      <c r="H14">
        <v>1257.96</v>
      </c>
      <c r="I14" t="s">
        <v>40</v>
      </c>
      <c r="J14" t="s">
        <v>120</v>
      </c>
      <c r="K14" t="s">
        <v>106</v>
      </c>
      <c r="L14" t="s">
        <v>40</v>
      </c>
    </row>
    <row r="15" spans="1:12" x14ac:dyDescent="0.3">
      <c r="A15" t="s">
        <v>9</v>
      </c>
      <c r="B15">
        <v>1012</v>
      </c>
      <c r="C15" s="1">
        <v>45599</v>
      </c>
      <c r="D15" s="1"/>
      <c r="E15" t="s">
        <v>47</v>
      </c>
      <c r="F15" t="s">
        <v>48</v>
      </c>
      <c r="G15" t="s">
        <v>49</v>
      </c>
      <c r="H15">
        <v>823.23</v>
      </c>
      <c r="I15" t="s">
        <v>36</v>
      </c>
      <c r="J15" t="s">
        <v>120</v>
      </c>
      <c r="K15" t="s">
        <v>106</v>
      </c>
      <c r="L15" t="s">
        <v>40</v>
      </c>
    </row>
    <row r="16" spans="1:12" x14ac:dyDescent="0.3">
      <c r="A16" t="s">
        <v>10</v>
      </c>
      <c r="B16">
        <v>1011</v>
      </c>
      <c r="C16" s="1">
        <v>45850</v>
      </c>
      <c r="D16" s="1">
        <v>45853</v>
      </c>
      <c r="E16" t="s">
        <v>44</v>
      </c>
      <c r="F16" t="s">
        <v>45</v>
      </c>
      <c r="G16" t="s">
        <v>60</v>
      </c>
      <c r="H16">
        <v>1458.02</v>
      </c>
      <c r="I16" t="s">
        <v>40</v>
      </c>
      <c r="J16" t="s">
        <v>119</v>
      </c>
      <c r="K16" t="s">
        <v>106</v>
      </c>
      <c r="L16" t="s">
        <v>55</v>
      </c>
    </row>
    <row r="17" spans="1:12" x14ac:dyDescent="0.3">
      <c r="A17" t="s">
        <v>21</v>
      </c>
      <c r="B17">
        <v>1001</v>
      </c>
      <c r="C17" s="1">
        <v>45544</v>
      </c>
      <c r="D17" s="1">
        <v>45854</v>
      </c>
      <c r="E17" t="s">
        <v>44</v>
      </c>
      <c r="F17" t="s">
        <v>53</v>
      </c>
      <c r="G17" t="s">
        <v>54</v>
      </c>
      <c r="H17">
        <v>869.09</v>
      </c>
      <c r="I17" t="s">
        <v>55</v>
      </c>
      <c r="J17" t="s">
        <v>105</v>
      </c>
      <c r="K17" t="s">
        <v>106</v>
      </c>
      <c r="L17" t="s">
        <v>36</v>
      </c>
    </row>
    <row r="18" spans="1:12" x14ac:dyDescent="0.3">
      <c r="A18" t="s">
        <v>21</v>
      </c>
      <c r="B18">
        <v>1001</v>
      </c>
      <c r="C18" s="1">
        <v>45880</v>
      </c>
      <c r="D18" s="1"/>
      <c r="E18" t="s">
        <v>44</v>
      </c>
      <c r="F18" t="s">
        <v>53</v>
      </c>
      <c r="G18" t="s">
        <v>54</v>
      </c>
      <c r="H18">
        <v>869.09</v>
      </c>
      <c r="I18" t="s">
        <v>55</v>
      </c>
      <c r="J18" t="s">
        <v>105</v>
      </c>
      <c r="K18" t="s">
        <v>106</v>
      </c>
      <c r="L18" t="s">
        <v>36</v>
      </c>
    </row>
    <row r="19" spans="1:12" x14ac:dyDescent="0.3">
      <c r="A19" t="s">
        <v>11</v>
      </c>
      <c r="B19">
        <v>1005</v>
      </c>
      <c r="C19" s="1">
        <v>45837</v>
      </c>
      <c r="D19" s="1">
        <v>45898</v>
      </c>
      <c r="E19" t="s">
        <v>47</v>
      </c>
      <c r="F19" t="s">
        <v>63</v>
      </c>
      <c r="G19" t="s">
        <v>64</v>
      </c>
      <c r="H19">
        <v>1417.1</v>
      </c>
      <c r="I19" t="s">
        <v>40</v>
      </c>
      <c r="J19" t="s">
        <v>112</v>
      </c>
      <c r="K19" t="s">
        <v>111</v>
      </c>
      <c r="L19" t="s">
        <v>36</v>
      </c>
    </row>
    <row r="20" spans="1:12" x14ac:dyDescent="0.3">
      <c r="A20" t="s">
        <v>12</v>
      </c>
      <c r="B20">
        <v>1004</v>
      </c>
      <c r="C20" s="1">
        <v>45523</v>
      </c>
      <c r="D20" s="1"/>
      <c r="E20" t="s">
        <v>57</v>
      </c>
      <c r="F20" t="s">
        <v>58</v>
      </c>
      <c r="G20" t="s">
        <v>92</v>
      </c>
      <c r="H20">
        <v>1246.58</v>
      </c>
      <c r="I20" t="s">
        <v>55</v>
      </c>
      <c r="J20" t="s">
        <v>110</v>
      </c>
      <c r="K20" t="s">
        <v>111</v>
      </c>
      <c r="L20" t="s">
        <v>55</v>
      </c>
    </row>
    <row r="21" spans="1:12" x14ac:dyDescent="0.3">
      <c r="A21" t="s">
        <v>12</v>
      </c>
      <c r="B21">
        <v>1006</v>
      </c>
      <c r="C21" s="1">
        <v>45630</v>
      </c>
      <c r="D21" s="1">
        <v>45732</v>
      </c>
      <c r="E21" t="s">
        <v>57</v>
      </c>
      <c r="F21" t="s">
        <v>58</v>
      </c>
      <c r="G21" t="s">
        <v>92</v>
      </c>
      <c r="H21">
        <v>1246.58</v>
      </c>
      <c r="I21" t="s">
        <v>55</v>
      </c>
      <c r="J21" t="s">
        <v>113</v>
      </c>
      <c r="K21" t="s">
        <v>111</v>
      </c>
      <c r="L21" t="s">
        <v>55</v>
      </c>
    </row>
    <row r="22" spans="1:12" x14ac:dyDescent="0.3">
      <c r="A22" t="s">
        <v>12</v>
      </c>
      <c r="B22">
        <v>1003</v>
      </c>
      <c r="C22" s="1">
        <v>45595</v>
      </c>
      <c r="D22" s="1">
        <v>45630</v>
      </c>
      <c r="E22" t="s">
        <v>57</v>
      </c>
      <c r="F22" t="s">
        <v>58</v>
      </c>
      <c r="G22" t="s">
        <v>92</v>
      </c>
      <c r="H22">
        <v>1246.58</v>
      </c>
      <c r="I22" t="s">
        <v>55</v>
      </c>
      <c r="J22" t="s">
        <v>108</v>
      </c>
      <c r="K22" t="s">
        <v>109</v>
      </c>
      <c r="L22" t="s">
        <v>55</v>
      </c>
    </row>
    <row r="23" spans="1:12" x14ac:dyDescent="0.3">
      <c r="A23" t="s">
        <v>13</v>
      </c>
      <c r="B23">
        <v>1012</v>
      </c>
      <c r="C23" s="1">
        <v>45419</v>
      </c>
      <c r="D23" s="1">
        <v>45470</v>
      </c>
      <c r="E23" t="s">
        <v>47</v>
      </c>
      <c r="F23" t="s">
        <v>48</v>
      </c>
      <c r="G23" t="s">
        <v>67</v>
      </c>
      <c r="H23">
        <v>1898.65</v>
      </c>
      <c r="I23" t="s">
        <v>55</v>
      </c>
      <c r="J23" t="s">
        <v>120</v>
      </c>
      <c r="K23" t="s">
        <v>106</v>
      </c>
      <c r="L23" t="s">
        <v>40</v>
      </c>
    </row>
    <row r="24" spans="1:12" x14ac:dyDescent="0.3">
      <c r="A24" t="s">
        <v>13</v>
      </c>
      <c r="B24">
        <v>1009</v>
      </c>
      <c r="C24" s="1">
        <v>45319</v>
      </c>
      <c r="D24" s="1">
        <v>45714</v>
      </c>
      <c r="E24" t="s">
        <v>47</v>
      </c>
      <c r="F24" t="s">
        <v>48</v>
      </c>
      <c r="G24" t="s">
        <v>67</v>
      </c>
      <c r="H24">
        <v>1898.65</v>
      </c>
      <c r="I24" t="s">
        <v>55</v>
      </c>
      <c r="J24" t="s">
        <v>116</v>
      </c>
      <c r="K24" t="s">
        <v>117</v>
      </c>
      <c r="L24" t="s">
        <v>55</v>
      </c>
    </row>
    <row r="25" spans="1:12" x14ac:dyDescent="0.3">
      <c r="A25" t="s">
        <v>14</v>
      </c>
      <c r="B25">
        <v>1002</v>
      </c>
      <c r="C25" s="1">
        <v>45921</v>
      </c>
      <c r="D25" s="1">
        <v>45934</v>
      </c>
      <c r="E25" t="s">
        <v>44</v>
      </c>
      <c r="F25" t="s">
        <v>53</v>
      </c>
      <c r="G25" t="s">
        <v>93</v>
      </c>
      <c r="H25">
        <v>1553.15</v>
      </c>
      <c r="I25" t="s">
        <v>55</v>
      </c>
      <c r="J25" t="s">
        <v>107</v>
      </c>
      <c r="K25" t="s">
        <v>106</v>
      </c>
      <c r="L25" t="s">
        <v>36</v>
      </c>
    </row>
    <row r="26" spans="1:12" x14ac:dyDescent="0.3">
      <c r="A26" t="s">
        <v>15</v>
      </c>
      <c r="B26">
        <v>1010</v>
      </c>
      <c r="C26" s="1">
        <v>45377</v>
      </c>
      <c r="D26" s="1">
        <v>45886</v>
      </c>
      <c r="E26" t="s">
        <v>50</v>
      </c>
      <c r="F26" t="s">
        <v>69</v>
      </c>
      <c r="G26" t="s">
        <v>70</v>
      </c>
      <c r="H26">
        <v>661.44</v>
      </c>
      <c r="I26" t="s">
        <v>40</v>
      </c>
      <c r="J26" t="s">
        <v>118</v>
      </c>
      <c r="K26" t="s">
        <v>106</v>
      </c>
      <c r="L26" t="s">
        <v>55</v>
      </c>
    </row>
    <row r="27" spans="1:12" x14ac:dyDescent="0.3">
      <c r="A27" t="s">
        <v>15</v>
      </c>
      <c r="B27">
        <v>1002</v>
      </c>
      <c r="C27" s="1">
        <v>45519</v>
      </c>
      <c r="D27" s="1"/>
      <c r="E27" t="s">
        <v>50</v>
      </c>
      <c r="F27" t="s">
        <v>69</v>
      </c>
      <c r="G27" t="s">
        <v>70</v>
      </c>
      <c r="H27">
        <v>661.44</v>
      </c>
      <c r="I27" t="s">
        <v>40</v>
      </c>
      <c r="J27" t="s">
        <v>107</v>
      </c>
      <c r="K27" t="s">
        <v>106</v>
      </c>
      <c r="L27" t="s">
        <v>36</v>
      </c>
    </row>
    <row r="28" spans="1:12" x14ac:dyDescent="0.3">
      <c r="A28" t="s">
        <v>16</v>
      </c>
      <c r="B28">
        <v>1002</v>
      </c>
      <c r="C28" s="1">
        <v>45899</v>
      </c>
      <c r="D28" s="1">
        <v>45930</v>
      </c>
      <c r="E28" t="s">
        <v>33</v>
      </c>
      <c r="F28" t="s">
        <v>42</v>
      </c>
      <c r="G28" t="s">
        <v>83</v>
      </c>
      <c r="H28">
        <v>1591.98</v>
      </c>
      <c r="I28" t="s">
        <v>55</v>
      </c>
      <c r="J28" t="s">
        <v>107</v>
      </c>
      <c r="K28" t="s">
        <v>106</v>
      </c>
      <c r="L28" t="s">
        <v>36</v>
      </c>
    </row>
    <row r="29" spans="1:12" x14ac:dyDescent="0.3">
      <c r="A29" t="s">
        <v>16</v>
      </c>
      <c r="B29">
        <v>1002</v>
      </c>
      <c r="C29" s="1">
        <v>45493</v>
      </c>
      <c r="D29" s="1">
        <v>45663</v>
      </c>
      <c r="E29" t="s">
        <v>33</v>
      </c>
      <c r="F29" t="s">
        <v>42</v>
      </c>
      <c r="G29" t="s">
        <v>83</v>
      </c>
      <c r="H29">
        <v>1591.98</v>
      </c>
      <c r="I29" t="s">
        <v>55</v>
      </c>
      <c r="J29" t="s">
        <v>107</v>
      </c>
      <c r="K29" t="s">
        <v>106</v>
      </c>
      <c r="L29" t="s">
        <v>36</v>
      </c>
    </row>
    <row r="30" spans="1:12" x14ac:dyDescent="0.3">
      <c r="A30" t="s">
        <v>17</v>
      </c>
      <c r="B30">
        <v>1011</v>
      </c>
      <c r="C30" s="1">
        <v>45568</v>
      </c>
      <c r="D30" s="1">
        <v>45623</v>
      </c>
      <c r="E30" t="s">
        <v>33</v>
      </c>
      <c r="F30" t="s">
        <v>42</v>
      </c>
      <c r="G30" t="s">
        <v>74</v>
      </c>
      <c r="H30">
        <v>1688.07</v>
      </c>
      <c r="I30" t="s">
        <v>40</v>
      </c>
      <c r="J30" t="s">
        <v>119</v>
      </c>
      <c r="K30" t="s">
        <v>106</v>
      </c>
      <c r="L30" t="s">
        <v>55</v>
      </c>
    </row>
    <row r="31" spans="1:12" x14ac:dyDescent="0.3">
      <c r="A31" t="s">
        <v>18</v>
      </c>
      <c r="B31">
        <v>1004</v>
      </c>
      <c r="C31" s="1">
        <v>45320</v>
      </c>
      <c r="D31" s="1"/>
      <c r="E31" t="s">
        <v>44</v>
      </c>
      <c r="F31" t="s">
        <v>95</v>
      </c>
      <c r="G31" t="s">
        <v>96</v>
      </c>
      <c r="H31">
        <v>1095.6199999999999</v>
      </c>
      <c r="I31" t="s">
        <v>40</v>
      </c>
      <c r="J31" t="s">
        <v>110</v>
      </c>
      <c r="K31" t="s">
        <v>111</v>
      </c>
      <c r="L31" t="s">
        <v>55</v>
      </c>
    </row>
    <row r="32" spans="1:12" x14ac:dyDescent="0.3">
      <c r="A32" t="s">
        <v>18</v>
      </c>
      <c r="B32">
        <v>1004</v>
      </c>
      <c r="C32" s="1">
        <v>45336</v>
      </c>
      <c r="D32" s="1"/>
      <c r="E32" t="s">
        <v>44</v>
      </c>
      <c r="F32" t="s">
        <v>95</v>
      </c>
      <c r="G32" t="s">
        <v>96</v>
      </c>
      <c r="H32">
        <v>1095.6199999999999</v>
      </c>
      <c r="I32" t="s">
        <v>40</v>
      </c>
      <c r="J32" t="s">
        <v>110</v>
      </c>
      <c r="K32" t="s">
        <v>111</v>
      </c>
      <c r="L32" t="s">
        <v>55</v>
      </c>
    </row>
    <row r="33" spans="1:12" x14ac:dyDescent="0.3">
      <c r="A33" t="s">
        <v>19</v>
      </c>
      <c r="B33">
        <v>1004</v>
      </c>
      <c r="C33" s="1">
        <v>45403</v>
      </c>
      <c r="D33" s="1">
        <v>45839</v>
      </c>
      <c r="E33" t="s">
        <v>80</v>
      </c>
      <c r="F33" t="s">
        <v>81</v>
      </c>
      <c r="G33" t="s">
        <v>91</v>
      </c>
      <c r="H33">
        <v>501.64</v>
      </c>
      <c r="I33" t="s">
        <v>40</v>
      </c>
      <c r="J33" t="s">
        <v>110</v>
      </c>
      <c r="K33" t="s">
        <v>111</v>
      </c>
      <c r="L33" t="s">
        <v>55</v>
      </c>
    </row>
    <row r="34" spans="1:12" x14ac:dyDescent="0.3">
      <c r="A34" t="s">
        <v>20</v>
      </c>
      <c r="B34">
        <v>1012</v>
      </c>
      <c r="C34" s="1">
        <v>45792</v>
      </c>
      <c r="D34" s="1">
        <v>45905</v>
      </c>
      <c r="E34" t="s">
        <v>57</v>
      </c>
      <c r="F34" t="s">
        <v>58</v>
      </c>
      <c r="G34" t="s">
        <v>94</v>
      </c>
      <c r="H34">
        <v>1629.76</v>
      </c>
      <c r="I34" t="s">
        <v>40</v>
      </c>
      <c r="J34" t="s">
        <v>120</v>
      </c>
      <c r="K34" t="s">
        <v>106</v>
      </c>
      <c r="L34" t="s">
        <v>40</v>
      </c>
    </row>
    <row r="35" spans="1:12" x14ac:dyDescent="0.3">
      <c r="A35" t="s">
        <v>20</v>
      </c>
      <c r="B35">
        <v>1005</v>
      </c>
      <c r="C35" s="1">
        <v>45261</v>
      </c>
      <c r="D35" s="1">
        <v>45559</v>
      </c>
      <c r="E35" t="s">
        <v>57</v>
      </c>
      <c r="F35" t="s">
        <v>58</v>
      </c>
      <c r="G35" t="s">
        <v>94</v>
      </c>
      <c r="H35">
        <v>1629.76</v>
      </c>
      <c r="I35" t="s">
        <v>40</v>
      </c>
      <c r="J35" t="s">
        <v>112</v>
      </c>
      <c r="K35" t="s">
        <v>111</v>
      </c>
      <c r="L35" t="s">
        <v>36</v>
      </c>
    </row>
    <row r="36" spans="1:12" x14ac:dyDescent="0.3">
      <c r="A36" t="s">
        <v>23</v>
      </c>
      <c r="B36">
        <v>1005</v>
      </c>
      <c r="C36" s="1">
        <v>45675</v>
      </c>
      <c r="D36" s="1"/>
      <c r="E36" t="s">
        <v>57</v>
      </c>
      <c r="F36" t="s">
        <v>58</v>
      </c>
      <c r="G36" t="s">
        <v>88</v>
      </c>
      <c r="H36">
        <v>545.46</v>
      </c>
      <c r="I36" t="s">
        <v>36</v>
      </c>
      <c r="J36" t="s">
        <v>112</v>
      </c>
      <c r="K36" t="s">
        <v>111</v>
      </c>
      <c r="L36" t="s">
        <v>36</v>
      </c>
    </row>
    <row r="37" spans="1:12" x14ac:dyDescent="0.3">
      <c r="A37" t="s">
        <v>24</v>
      </c>
      <c r="B37">
        <v>1003</v>
      </c>
      <c r="C37" s="1">
        <v>45508</v>
      </c>
      <c r="D37" s="1">
        <v>45871</v>
      </c>
      <c r="E37" t="s">
        <v>44</v>
      </c>
      <c r="F37" t="s">
        <v>53</v>
      </c>
      <c r="G37" t="s">
        <v>97</v>
      </c>
      <c r="H37">
        <v>1801.36</v>
      </c>
      <c r="I37" t="s">
        <v>40</v>
      </c>
      <c r="J37" t="s">
        <v>108</v>
      </c>
      <c r="K37" t="s">
        <v>109</v>
      </c>
      <c r="L37" t="s">
        <v>55</v>
      </c>
    </row>
    <row r="38" spans="1:12" x14ac:dyDescent="0.3">
      <c r="A38" t="s">
        <v>25</v>
      </c>
      <c r="B38">
        <v>1001</v>
      </c>
      <c r="C38" s="1">
        <v>45622</v>
      </c>
      <c r="D38" s="1">
        <v>45719</v>
      </c>
      <c r="E38" t="s">
        <v>44</v>
      </c>
      <c r="F38" t="s">
        <v>53</v>
      </c>
      <c r="G38" t="s">
        <v>68</v>
      </c>
      <c r="H38">
        <v>1415.97</v>
      </c>
      <c r="I38" t="s">
        <v>55</v>
      </c>
      <c r="J38" t="s">
        <v>105</v>
      </c>
      <c r="K38" t="s">
        <v>106</v>
      </c>
      <c r="L38" t="s">
        <v>36</v>
      </c>
    </row>
    <row r="39" spans="1:12" x14ac:dyDescent="0.3">
      <c r="A39" t="s">
        <v>4</v>
      </c>
      <c r="B39">
        <v>1001</v>
      </c>
      <c r="C39" s="1">
        <v>45641</v>
      </c>
      <c r="D39" s="1"/>
      <c r="E39" t="s">
        <v>57</v>
      </c>
      <c r="F39" t="s">
        <v>98</v>
      </c>
      <c r="G39" t="s">
        <v>102</v>
      </c>
      <c r="H39">
        <v>644.54</v>
      </c>
      <c r="I39" t="s">
        <v>36</v>
      </c>
      <c r="J39" t="s">
        <v>105</v>
      </c>
      <c r="K39" t="s">
        <v>106</v>
      </c>
      <c r="L39" t="s">
        <v>36</v>
      </c>
    </row>
    <row r="40" spans="1:12" x14ac:dyDescent="0.3">
      <c r="A40" t="s">
        <v>22</v>
      </c>
      <c r="B40">
        <v>1001</v>
      </c>
      <c r="C40" s="1">
        <v>45880</v>
      </c>
      <c r="D40" s="1">
        <v>45881</v>
      </c>
      <c r="E40" t="s">
        <v>44</v>
      </c>
      <c r="F40" t="s">
        <v>45</v>
      </c>
      <c r="G40" t="s">
        <v>46</v>
      </c>
      <c r="H40">
        <v>1007.88</v>
      </c>
      <c r="I40" t="s">
        <v>40</v>
      </c>
      <c r="J40" t="s">
        <v>105</v>
      </c>
      <c r="K40" t="s">
        <v>106</v>
      </c>
      <c r="L40" t="s">
        <v>36</v>
      </c>
    </row>
    <row r="41" spans="1:12" x14ac:dyDescent="0.3">
      <c r="A41" t="s">
        <v>26</v>
      </c>
      <c r="B41">
        <v>1009</v>
      </c>
      <c r="C41" s="1">
        <v>45740</v>
      </c>
      <c r="D41" s="1">
        <v>45784</v>
      </c>
      <c r="E41" t="s">
        <v>57</v>
      </c>
      <c r="F41" t="s">
        <v>98</v>
      </c>
      <c r="G41" t="s">
        <v>99</v>
      </c>
      <c r="H41">
        <v>1212.29</v>
      </c>
      <c r="I41" t="s">
        <v>36</v>
      </c>
      <c r="J41" t="s">
        <v>116</v>
      </c>
      <c r="K41" t="s">
        <v>117</v>
      </c>
      <c r="L41" t="s">
        <v>55</v>
      </c>
    </row>
    <row r="42" spans="1:12" x14ac:dyDescent="0.3">
      <c r="A42" t="s">
        <v>26</v>
      </c>
      <c r="B42">
        <v>1002</v>
      </c>
      <c r="C42" s="1">
        <v>45741</v>
      </c>
      <c r="D42" s="1"/>
      <c r="E42" t="s">
        <v>57</v>
      </c>
      <c r="F42" t="s">
        <v>98</v>
      </c>
      <c r="G42" t="s">
        <v>99</v>
      </c>
      <c r="H42">
        <v>1212.29</v>
      </c>
      <c r="I42" t="s">
        <v>36</v>
      </c>
      <c r="J42" t="s">
        <v>107</v>
      </c>
      <c r="K42" t="s">
        <v>106</v>
      </c>
      <c r="L42" t="s">
        <v>36</v>
      </c>
    </row>
    <row r="43" spans="1:12" x14ac:dyDescent="0.3">
      <c r="A43" t="s">
        <v>9</v>
      </c>
      <c r="B43">
        <v>1010</v>
      </c>
      <c r="C43" s="1">
        <v>45899</v>
      </c>
      <c r="D43" s="1">
        <v>45925</v>
      </c>
      <c r="E43" t="s">
        <v>47</v>
      </c>
      <c r="F43" t="s">
        <v>48</v>
      </c>
      <c r="G43" t="s">
        <v>49</v>
      </c>
      <c r="H43">
        <v>823.23</v>
      </c>
      <c r="I43" t="s">
        <v>36</v>
      </c>
      <c r="J43" t="s">
        <v>118</v>
      </c>
      <c r="K43" t="s">
        <v>106</v>
      </c>
      <c r="L43" t="s">
        <v>55</v>
      </c>
    </row>
    <row r="44" spans="1:12" x14ac:dyDescent="0.3">
      <c r="A44" t="s">
        <v>7</v>
      </c>
      <c r="B44">
        <v>1007</v>
      </c>
      <c r="C44" s="1">
        <v>45795</v>
      </c>
      <c r="D44" s="1">
        <v>45846</v>
      </c>
      <c r="E44" t="s">
        <v>47</v>
      </c>
      <c r="F44" t="s">
        <v>48</v>
      </c>
      <c r="G44" t="s">
        <v>71</v>
      </c>
      <c r="H44">
        <v>1501.06</v>
      </c>
      <c r="I44" t="s">
        <v>36</v>
      </c>
      <c r="J44" t="s">
        <v>114</v>
      </c>
      <c r="K44" t="s">
        <v>106</v>
      </c>
      <c r="L44" t="s">
        <v>36</v>
      </c>
    </row>
    <row r="45" spans="1:12" x14ac:dyDescent="0.3">
      <c r="A45" t="s">
        <v>7</v>
      </c>
      <c r="B45">
        <v>1010</v>
      </c>
      <c r="C45" s="1">
        <v>45808</v>
      </c>
      <c r="D45" s="1">
        <v>45932</v>
      </c>
      <c r="E45" t="s">
        <v>47</v>
      </c>
      <c r="F45" t="s">
        <v>48</v>
      </c>
      <c r="G45" t="s">
        <v>71</v>
      </c>
      <c r="H45">
        <v>1501.06</v>
      </c>
      <c r="I45" t="s">
        <v>36</v>
      </c>
      <c r="J45" t="s">
        <v>118</v>
      </c>
      <c r="K45" t="s">
        <v>106</v>
      </c>
      <c r="L45" t="s">
        <v>55</v>
      </c>
    </row>
    <row r="46" spans="1:12" x14ac:dyDescent="0.3">
      <c r="A46" t="s">
        <v>8</v>
      </c>
      <c r="B46">
        <v>1007</v>
      </c>
      <c r="C46" s="1">
        <v>45476</v>
      </c>
      <c r="D46" s="1"/>
      <c r="E46" t="s">
        <v>50</v>
      </c>
      <c r="F46" t="s">
        <v>51</v>
      </c>
      <c r="G46" t="s">
        <v>52</v>
      </c>
      <c r="H46">
        <v>1257.96</v>
      </c>
      <c r="I46" t="s">
        <v>40</v>
      </c>
      <c r="J46" t="s">
        <v>114</v>
      </c>
      <c r="K46" t="s">
        <v>106</v>
      </c>
      <c r="L46" t="s">
        <v>36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EC7A-1D79-47E7-A4F9-FD567EA5E5BD}">
  <dimension ref="A1:D46"/>
  <sheetViews>
    <sheetView workbookViewId="0"/>
  </sheetViews>
  <sheetFormatPr baseColWidth="10" defaultRowHeight="14.4" x14ac:dyDescent="0.3"/>
  <cols>
    <col min="1" max="1" width="15.88671875" bestFit="1" customWidth="1"/>
    <col min="2" max="2" width="15" bestFit="1" customWidth="1"/>
    <col min="3" max="3" width="13.21875" bestFit="1" customWidth="1"/>
    <col min="4" max="4" width="14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1009</v>
      </c>
      <c r="C2" s="1">
        <v>45421</v>
      </c>
      <c r="D2" s="1"/>
    </row>
    <row r="3" spans="1:4" x14ac:dyDescent="0.3">
      <c r="A3" t="s">
        <v>5</v>
      </c>
      <c r="B3">
        <v>1008</v>
      </c>
      <c r="C3" s="1">
        <v>45930</v>
      </c>
      <c r="D3" s="1">
        <v>45935</v>
      </c>
    </row>
    <row r="4" spans="1:4" x14ac:dyDescent="0.3">
      <c r="A4" t="s">
        <v>6</v>
      </c>
      <c r="B4">
        <v>1005</v>
      </c>
      <c r="C4" s="1">
        <v>45743</v>
      </c>
      <c r="D4" s="1">
        <v>45868</v>
      </c>
    </row>
    <row r="5" spans="1:4" x14ac:dyDescent="0.3">
      <c r="A5" t="s">
        <v>7</v>
      </c>
      <c r="B5">
        <v>1010</v>
      </c>
      <c r="C5" s="1">
        <v>45866</v>
      </c>
      <c r="D5" s="1"/>
    </row>
    <row r="6" spans="1:4" x14ac:dyDescent="0.3">
      <c r="A6" t="s">
        <v>8</v>
      </c>
      <c r="B6">
        <v>1012</v>
      </c>
      <c r="C6" s="1">
        <v>45808</v>
      </c>
      <c r="D6" s="1">
        <v>45818</v>
      </c>
    </row>
    <row r="7" spans="1:4" x14ac:dyDescent="0.3">
      <c r="A7" t="s">
        <v>9</v>
      </c>
      <c r="B7">
        <v>1009</v>
      </c>
      <c r="C7" s="1">
        <v>45389</v>
      </c>
      <c r="D7" s="1"/>
    </row>
    <row r="8" spans="1:4" x14ac:dyDescent="0.3">
      <c r="A8" t="s">
        <v>10</v>
      </c>
      <c r="B8">
        <v>1011</v>
      </c>
      <c r="C8" s="1">
        <v>45850</v>
      </c>
      <c r="D8" s="1">
        <v>45853</v>
      </c>
    </row>
    <row r="9" spans="1:4" x14ac:dyDescent="0.3">
      <c r="A9" t="s">
        <v>11</v>
      </c>
      <c r="B9">
        <v>1005</v>
      </c>
      <c r="C9" s="1">
        <v>45837</v>
      </c>
      <c r="D9" s="1">
        <v>45898</v>
      </c>
    </row>
    <row r="10" spans="1:4" x14ac:dyDescent="0.3">
      <c r="A10" t="s">
        <v>12</v>
      </c>
      <c r="B10">
        <v>1004</v>
      </c>
      <c r="C10" s="1">
        <v>45523</v>
      </c>
      <c r="D10" s="1"/>
    </row>
    <row r="11" spans="1:4" x14ac:dyDescent="0.3">
      <c r="A11" t="s">
        <v>13</v>
      </c>
      <c r="B11">
        <v>1012</v>
      </c>
      <c r="C11" s="1">
        <v>45419</v>
      </c>
      <c r="D11" s="1">
        <v>45470</v>
      </c>
    </row>
    <row r="12" spans="1:4" x14ac:dyDescent="0.3">
      <c r="A12" t="s">
        <v>6</v>
      </c>
      <c r="B12">
        <v>1008</v>
      </c>
      <c r="C12" s="1">
        <v>45375</v>
      </c>
      <c r="D12" s="1"/>
    </row>
    <row r="13" spans="1:4" x14ac:dyDescent="0.3">
      <c r="A13" t="s">
        <v>14</v>
      </c>
      <c r="B13">
        <v>1002</v>
      </c>
      <c r="C13" s="1">
        <v>45921</v>
      </c>
      <c r="D13" s="1">
        <v>45934</v>
      </c>
    </row>
    <row r="14" spans="1:4" x14ac:dyDescent="0.3">
      <c r="A14" t="s">
        <v>9</v>
      </c>
      <c r="B14">
        <v>1006</v>
      </c>
      <c r="C14" s="1">
        <v>45892</v>
      </c>
      <c r="D14" s="1">
        <v>45922</v>
      </c>
    </row>
    <row r="15" spans="1:4" x14ac:dyDescent="0.3">
      <c r="A15" t="s">
        <v>15</v>
      </c>
      <c r="B15">
        <v>1010</v>
      </c>
      <c r="C15" s="1">
        <v>45377</v>
      </c>
      <c r="D15" s="1">
        <v>45886</v>
      </c>
    </row>
    <row r="16" spans="1:4" x14ac:dyDescent="0.3">
      <c r="A16" t="s">
        <v>9</v>
      </c>
      <c r="B16">
        <v>1012</v>
      </c>
      <c r="C16" s="1">
        <v>45599</v>
      </c>
      <c r="D16" s="1"/>
    </row>
    <row r="17" spans="1:4" x14ac:dyDescent="0.3">
      <c r="A17" t="s">
        <v>15</v>
      </c>
      <c r="B17">
        <v>1002</v>
      </c>
      <c r="C17" s="1">
        <v>45519</v>
      </c>
      <c r="D17" s="1"/>
    </row>
    <row r="18" spans="1:4" x14ac:dyDescent="0.3">
      <c r="A18" t="s">
        <v>16</v>
      </c>
      <c r="B18">
        <v>1002</v>
      </c>
      <c r="C18" s="1">
        <v>45899</v>
      </c>
      <c r="D18" s="1">
        <v>45930</v>
      </c>
    </row>
    <row r="19" spans="1:4" x14ac:dyDescent="0.3">
      <c r="A19" t="s">
        <v>17</v>
      </c>
      <c r="B19">
        <v>1011</v>
      </c>
      <c r="C19" s="1">
        <v>45568</v>
      </c>
      <c r="D19" s="1">
        <v>45623</v>
      </c>
    </row>
    <row r="20" spans="1:4" x14ac:dyDescent="0.3">
      <c r="A20" t="s">
        <v>4</v>
      </c>
      <c r="B20">
        <v>1003</v>
      </c>
      <c r="C20" s="1">
        <v>45417</v>
      </c>
      <c r="D20" s="1"/>
    </row>
    <row r="21" spans="1:4" x14ac:dyDescent="0.3">
      <c r="A21" t="s">
        <v>18</v>
      </c>
      <c r="B21">
        <v>1004</v>
      </c>
      <c r="C21" s="1">
        <v>45320</v>
      </c>
      <c r="D21" s="1"/>
    </row>
    <row r="22" spans="1:4" x14ac:dyDescent="0.3">
      <c r="A22" t="s">
        <v>19</v>
      </c>
      <c r="B22">
        <v>1004</v>
      </c>
      <c r="C22" s="1">
        <v>45403</v>
      </c>
      <c r="D22" s="1">
        <v>45839</v>
      </c>
    </row>
    <row r="23" spans="1:4" x14ac:dyDescent="0.3">
      <c r="A23" t="s">
        <v>12</v>
      </c>
      <c r="B23">
        <v>1006</v>
      </c>
      <c r="C23" s="1">
        <v>45630</v>
      </c>
      <c r="D23" s="1">
        <v>45732</v>
      </c>
    </row>
    <row r="24" spans="1:4" x14ac:dyDescent="0.3">
      <c r="A24" t="s">
        <v>20</v>
      </c>
      <c r="B24">
        <v>1012</v>
      </c>
      <c r="C24" s="1">
        <v>45792</v>
      </c>
      <c r="D24" s="1">
        <v>45905</v>
      </c>
    </row>
    <row r="25" spans="1:4" x14ac:dyDescent="0.3">
      <c r="A25" t="s">
        <v>21</v>
      </c>
      <c r="B25">
        <v>1001</v>
      </c>
      <c r="C25" s="1">
        <v>45544</v>
      </c>
      <c r="D25" s="1">
        <v>45854</v>
      </c>
    </row>
    <row r="26" spans="1:4" x14ac:dyDescent="0.3">
      <c r="A26" t="s">
        <v>16</v>
      </c>
      <c r="B26">
        <v>1002</v>
      </c>
      <c r="C26" s="1">
        <v>45493</v>
      </c>
      <c r="D26" s="1">
        <v>45663</v>
      </c>
    </row>
    <row r="27" spans="1:4" x14ac:dyDescent="0.3">
      <c r="A27" t="s">
        <v>13</v>
      </c>
      <c r="B27">
        <v>1009</v>
      </c>
      <c r="C27" s="1">
        <v>45319</v>
      </c>
      <c r="D27" s="1">
        <v>45714</v>
      </c>
    </row>
    <row r="28" spans="1:4" x14ac:dyDescent="0.3">
      <c r="A28" t="s">
        <v>12</v>
      </c>
      <c r="B28">
        <v>1003</v>
      </c>
      <c r="C28" s="1">
        <v>45595</v>
      </c>
      <c r="D28" s="1">
        <v>45630</v>
      </c>
    </row>
    <row r="29" spans="1:4" x14ac:dyDescent="0.3">
      <c r="A29" t="s">
        <v>7</v>
      </c>
      <c r="B29">
        <v>1002</v>
      </c>
      <c r="C29" s="1">
        <v>45799</v>
      </c>
      <c r="D29" s="1">
        <v>45808</v>
      </c>
    </row>
    <row r="30" spans="1:4" x14ac:dyDescent="0.3">
      <c r="A30" t="s">
        <v>21</v>
      </c>
      <c r="B30">
        <v>1001</v>
      </c>
      <c r="C30" s="1">
        <v>45880</v>
      </c>
      <c r="D30" s="1"/>
    </row>
    <row r="31" spans="1:4" x14ac:dyDescent="0.3">
      <c r="A31" t="s">
        <v>4</v>
      </c>
      <c r="B31">
        <v>1001</v>
      </c>
      <c r="C31" s="1">
        <v>45297</v>
      </c>
      <c r="D31" s="1"/>
    </row>
    <row r="32" spans="1:4" x14ac:dyDescent="0.3">
      <c r="A32" t="s">
        <v>7</v>
      </c>
      <c r="B32">
        <v>1003</v>
      </c>
      <c r="C32" s="1">
        <v>45330</v>
      </c>
      <c r="D32" s="1">
        <v>45817</v>
      </c>
    </row>
    <row r="33" spans="1:4" x14ac:dyDescent="0.3">
      <c r="A33" t="s">
        <v>18</v>
      </c>
      <c r="B33">
        <v>1004</v>
      </c>
      <c r="C33" s="1">
        <v>45336</v>
      </c>
      <c r="D33" s="1"/>
    </row>
    <row r="34" spans="1:4" x14ac:dyDescent="0.3">
      <c r="A34" t="s">
        <v>22</v>
      </c>
      <c r="B34">
        <v>1003</v>
      </c>
      <c r="C34" s="1">
        <v>45827</v>
      </c>
      <c r="D34" s="1">
        <v>45908</v>
      </c>
    </row>
    <row r="35" spans="1:4" x14ac:dyDescent="0.3">
      <c r="A35" t="s">
        <v>23</v>
      </c>
      <c r="B35">
        <v>1005</v>
      </c>
      <c r="C35" s="1">
        <v>45675</v>
      </c>
      <c r="D35" s="1"/>
    </row>
    <row r="36" spans="1:4" x14ac:dyDescent="0.3">
      <c r="A36" t="s">
        <v>20</v>
      </c>
      <c r="B36">
        <v>1005</v>
      </c>
      <c r="C36" s="1">
        <v>45261</v>
      </c>
      <c r="D36" s="1">
        <v>45559</v>
      </c>
    </row>
    <row r="37" spans="1:4" x14ac:dyDescent="0.3">
      <c r="A37" t="s">
        <v>24</v>
      </c>
      <c r="B37">
        <v>1003</v>
      </c>
      <c r="C37" s="1">
        <v>45508</v>
      </c>
      <c r="D37" s="1">
        <v>45871</v>
      </c>
    </row>
    <row r="38" spans="1:4" x14ac:dyDescent="0.3">
      <c r="A38" t="s">
        <v>25</v>
      </c>
      <c r="B38">
        <v>1001</v>
      </c>
      <c r="C38" s="1">
        <v>45622</v>
      </c>
      <c r="D38" s="1">
        <v>45719</v>
      </c>
    </row>
    <row r="39" spans="1:4" x14ac:dyDescent="0.3">
      <c r="A39" t="s">
        <v>4</v>
      </c>
      <c r="B39">
        <v>1001</v>
      </c>
      <c r="C39" s="1">
        <v>45641</v>
      </c>
      <c r="D39" s="1"/>
    </row>
    <row r="40" spans="1:4" x14ac:dyDescent="0.3">
      <c r="A40" t="s">
        <v>22</v>
      </c>
      <c r="B40">
        <v>1001</v>
      </c>
      <c r="C40" s="1">
        <v>45880</v>
      </c>
      <c r="D40" s="1">
        <v>45881</v>
      </c>
    </row>
    <row r="41" spans="1:4" x14ac:dyDescent="0.3">
      <c r="A41" t="s">
        <v>26</v>
      </c>
      <c r="B41">
        <v>1009</v>
      </c>
      <c r="C41" s="1">
        <v>45740</v>
      </c>
      <c r="D41" s="1">
        <v>45784</v>
      </c>
    </row>
    <row r="42" spans="1:4" x14ac:dyDescent="0.3">
      <c r="A42" t="s">
        <v>26</v>
      </c>
      <c r="B42">
        <v>1002</v>
      </c>
      <c r="C42" s="1">
        <v>45741</v>
      </c>
      <c r="D42" s="1"/>
    </row>
    <row r="43" spans="1:4" x14ac:dyDescent="0.3">
      <c r="A43" t="s">
        <v>9</v>
      </c>
      <c r="B43">
        <v>1010</v>
      </c>
      <c r="C43" s="1">
        <v>45899</v>
      </c>
      <c r="D43" s="1">
        <v>45925</v>
      </c>
    </row>
    <row r="44" spans="1:4" x14ac:dyDescent="0.3">
      <c r="A44" t="s">
        <v>7</v>
      </c>
      <c r="B44">
        <v>1007</v>
      </c>
      <c r="C44" s="1">
        <v>45795</v>
      </c>
      <c r="D44" s="1">
        <v>45846</v>
      </c>
    </row>
    <row r="45" spans="1:4" x14ac:dyDescent="0.3">
      <c r="A45" t="s">
        <v>7</v>
      </c>
      <c r="B45">
        <v>1010</v>
      </c>
      <c r="C45" s="1">
        <v>45808</v>
      </c>
      <c r="D45" s="1">
        <v>45932</v>
      </c>
    </row>
    <row r="46" spans="1:4" x14ac:dyDescent="0.3">
      <c r="A46" t="s">
        <v>8</v>
      </c>
      <c r="B46">
        <v>1007</v>
      </c>
      <c r="C46" s="1">
        <v>45476</v>
      </c>
      <c r="D46" s="1"/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85A433-1210-46BF-8D4E-210408724F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Mitarbeiter</vt:lpstr>
      <vt:lpstr>Geraete</vt:lpstr>
      <vt:lpstr>PivotTabelle</vt:lpstr>
      <vt:lpstr>Gesamt</vt:lpstr>
      <vt:lpstr>Ausleihen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 Dilmen</dc:creator>
  <cp:lastModifiedBy>Youness Anakhli</cp:lastModifiedBy>
  <dcterms:created xsi:type="dcterms:W3CDTF">2026-10-10T11:50:18Z</dcterms:created>
  <dcterms:modified xsi:type="dcterms:W3CDTF">2026-10-10T14:04:24Z</dcterms:modified>
</cp:coreProperties>
</file>